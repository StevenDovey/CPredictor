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R\C Predictor\"/>
    </mc:Choice>
  </mc:AlternateContent>
  <xr:revisionPtr revIDLastSave="0" documentId="8_{E296C9AD-5494-4A9A-87AD-C275297146F4}" xr6:coauthVersionLast="47" xr6:coauthVersionMax="47" xr10:uidLastSave="{00000000-0000-0000-0000-000000000000}"/>
  <bookViews>
    <workbookView xWindow="1170" yWindow="1170" windowWidth="21600" windowHeight="11235" firstSheet="2" activeTab="5" xr2:uid="{1D9345E5-BCE1-4395-8319-74A40C448616}"/>
  </bookViews>
  <sheets>
    <sheet name="300 Index" sheetId="1" r:id="rId1"/>
    <sheet name="Inputs" sheetId="2" r:id="rId2"/>
    <sheet name="Starting tree list" sheetId="3" r:id="rId3"/>
    <sheet name="C Change" sheetId="4" r:id="rId4"/>
    <sheet name="Batch runs" sheetId="5" r:id="rId5"/>
    <sheet name="Lists" sheetId="6" r:id="rId6"/>
  </sheets>
  <externalReferences>
    <externalReference r:id="rId7"/>
    <externalReference r:id="rId8"/>
  </externalReferences>
  <definedNames>
    <definedName name="_xlnm._FilterDatabase" localSheetId="4" hidden="1">'Batch runs'!$A$2:$AU$56</definedName>
    <definedName name="EXTREME">#REF!</definedName>
    <definedName name="PSPSUM_IN">#REF!</definedName>
    <definedName name="te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C3" i="3"/>
  <c r="E40" i="2"/>
  <c r="E39" i="2"/>
  <c r="E38" i="2"/>
  <c r="E37" i="2"/>
  <c r="E36" i="2"/>
  <c r="E35" i="2"/>
  <c r="E34" i="2"/>
  <c r="E33" i="2"/>
  <c r="E32" i="2"/>
  <c r="E31" i="2"/>
  <c r="E30" i="2"/>
  <c r="E29" i="2"/>
  <c r="E28" i="2"/>
  <c r="E27" i="2"/>
  <c r="E26" i="2"/>
  <c r="E25" i="2"/>
  <c r="E24" i="2"/>
  <c r="E23" i="2"/>
  <c r="E22" i="2"/>
  <c r="E21" i="2"/>
  <c r="E20" i="2"/>
  <c r="E6" i="2"/>
  <c r="E5" i="2"/>
  <c r="E4" i="2"/>
  <c r="E3"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scisup</author>
  </authors>
  <commentList>
    <comment ref="E8" authorId="0" shapeId="0" xr:uid="{0A82B2D6-B2D1-4F85-B284-1531960FFE10}">
      <text>
        <r>
          <rPr>
            <b/>
            <sz val="8"/>
            <color indexed="81"/>
            <rFont val="Tahoma"/>
            <family val="2"/>
          </rPr>
          <t>1: Standard mode: Use calibration meaurement if available to estimate productivity indices. Otherwise use specified productivity indices.
2. Offset mode: Uses specified productivity indices but apply offsets to ensure that MTH and BA are consistent with calibration measurement.
3. Index mode: Ignore calibration measurement and use specified productivity indices.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 Kimberley</author>
    <author>Forest Research</author>
  </authors>
  <commentList>
    <comment ref="J8" authorId="0" shapeId="0" xr:uid="{8E688AF1-A534-4363-9FD3-873ED663A481}">
      <text>
        <r>
          <rPr>
            <b/>
            <sz val="8"/>
            <color indexed="81"/>
            <rFont val="Tahoma"/>
            <family val="2"/>
          </rPr>
          <t>Pruning information. Should be left blank for an unpruned stand. Up to 4 lifts can be specified.
Only the radiata pine and Douglas-fir growth models modify tree growth on the basis of pruning.</t>
        </r>
      </text>
    </comment>
    <comment ref="K9" authorId="1" shapeId="0" xr:uid="{C5392697-2FBF-40A6-B2DE-14EC09BE1A5C}">
      <text>
        <r>
          <rPr>
            <b/>
            <sz val="8"/>
            <color indexed="81"/>
            <rFont val="Tahoma"/>
            <family val="2"/>
          </rPr>
          <t>Stand age (years) at time of pruning</t>
        </r>
        <r>
          <rPr>
            <sz val="8"/>
            <color indexed="81"/>
            <rFont val="Tahoma"/>
            <family val="2"/>
          </rPr>
          <t xml:space="preserve">
</t>
        </r>
        <r>
          <rPr>
            <b/>
            <sz val="8"/>
            <color indexed="81"/>
            <rFont val="Tahoma"/>
            <family val="2"/>
          </rPr>
          <t>Note that only integer thinning ages are allowed.</t>
        </r>
      </text>
    </comment>
    <comment ref="K10" authorId="1" shapeId="0" xr:uid="{251DF1C3-6F54-4461-AF7D-6F11E8E1A7D0}">
      <text>
        <r>
          <rPr>
            <b/>
            <sz val="8"/>
            <color indexed="81"/>
            <rFont val="Tahoma"/>
            <family val="2"/>
          </rPr>
          <t>Stocking (stems/ha) of stems pruned.</t>
        </r>
      </text>
    </comment>
    <comment ref="K11" authorId="1" shapeId="0" xr:uid="{93002A58-DAE4-479C-8061-7909392DB735}">
      <text>
        <r>
          <rPr>
            <b/>
            <sz val="8"/>
            <color indexed="81"/>
            <rFont val="Tahoma"/>
            <family val="2"/>
          </rPr>
          <t>Height of pruning (m)</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Mark Kimberley</author>
  </authors>
  <commentList>
    <comment ref="A1" authorId="0" shapeId="0" xr:uid="{539FD53C-2B0E-4E35-9596-F4AE90404C77}">
      <text>
        <r>
          <rPr>
            <b/>
            <sz val="8"/>
            <color indexed="81"/>
            <rFont val="Tahoma"/>
            <family val="2"/>
          </rPr>
          <t>The starting tree list can be used to generate stand metrics for a model run. The tree list consists of measurements of DBHs of all stems and of a sample of their heights in a measurement plot of a specified area (ha) and stand age. 
If the "estimate indices from tree list" option is selected (Cell B23 in the "Growth model" worksheet), the programme calculates age, stocking, basal area and MTH from the tree list and transfers them to cells E25:E28 of the "Growth model" worksheet. It then uses these to estimate the Site Index and 300 Index and transfers these values to cells E3 and E4 of the "Growth model" worksheet.
Scaled values of the DBHs in the tree list can also be used to generate the distribution of DBHs at harvest (Cell E22 of "Growth model" worksheet). In this case, only the DBHs are used and no height measurements are required.</t>
        </r>
      </text>
    </comment>
    <comment ref="A3" authorId="0" shapeId="0" xr:uid="{F574CA00-9318-4551-950B-0D012AC29BCF}">
      <text>
        <r>
          <rPr>
            <b/>
            <sz val="8"/>
            <color indexed="81"/>
            <rFont val="Tahoma"/>
            <family val="2"/>
          </rPr>
          <t>Area of measurement plot (ha).</t>
        </r>
      </text>
    </comment>
    <comment ref="A4" authorId="0" shapeId="0" xr:uid="{7265C5C9-2D4A-45EC-8BAD-588B06B191BD}">
      <text>
        <r>
          <rPr>
            <b/>
            <sz val="8"/>
            <color indexed="81"/>
            <rFont val="Tahoma"/>
            <family val="2"/>
          </rPr>
          <t>Age of stand (years).</t>
        </r>
      </text>
    </comment>
    <comment ref="A6" authorId="0" shapeId="0" xr:uid="{6881609A-02EB-4A5B-A7AE-2624C44586D3}">
      <text>
        <r>
          <rPr>
            <b/>
            <sz val="8"/>
            <color indexed="81"/>
            <rFont val="Tahoma"/>
            <family val="2"/>
          </rPr>
          <t>All stems must have a stem number (1, 2, 3, …).</t>
        </r>
        <r>
          <rPr>
            <sz val="9"/>
            <color indexed="81"/>
            <rFont val="Tahoma"/>
            <family val="2"/>
          </rPr>
          <t xml:space="preserve">
</t>
        </r>
      </text>
    </comment>
    <comment ref="B6" authorId="0" shapeId="0" xr:uid="{5A931FBB-496D-4164-AECF-9C4EB9AE7EF1}">
      <text>
        <r>
          <rPr>
            <b/>
            <sz val="8"/>
            <color indexed="81"/>
            <rFont val="Tahoma"/>
            <family val="2"/>
          </rPr>
          <t>All stems in the tree list must have a measured diameter at breast height (DBH, cm).</t>
        </r>
      </text>
    </comment>
    <comment ref="C6" authorId="0" shapeId="0" xr:uid="{F78049DF-2333-4001-9610-BE351193ED95}">
      <text>
        <r>
          <rPr>
            <b/>
            <sz val="8"/>
            <color indexed="81"/>
            <rFont val="Tahoma"/>
            <family val="2"/>
          </rPr>
          <t>A sample of trees in the tree list must have a measured stem height (m). Preferably at least 6 trees should be measured so that a reliable estimate of MTH can be generated from the tree list.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Kimberlm</author>
    <author>Forest Research</author>
    <author>Information Technology</author>
    <author>scisup</author>
  </authors>
  <commentList>
    <comment ref="A3" authorId="0" shapeId="0" xr:uid="{920EDB2D-A63C-49D5-ACF3-5E444465B687}">
      <text>
        <r>
          <rPr>
            <b/>
            <sz val="8"/>
            <color indexed="81"/>
            <rFont val="Tahoma"/>
            <family val="2"/>
          </rPr>
          <t>Valid values are:
PRAD - Radiata pine
PMEN - Douglas-fir
CLUS - Cupressus lusitanica and other cypresses
EUC - Eucalyptus species &amp; other hardwoods
DFIR - Implementation for Douglas-fir using the 300 Index model</t>
        </r>
      </text>
    </comment>
    <comment ref="A26" authorId="1" shapeId="0" xr:uid="{75673DF6-547A-4AF1-B9FC-F87BD9A7E099}">
      <text>
        <r>
          <rPr>
            <b/>
            <sz val="8"/>
            <color indexed="81"/>
            <rFont val="Tahoma"/>
            <family val="2"/>
          </rPr>
          <t xml:space="preserve">Calibrate Indices: Enter data here from actual stand assessments to calibrate the stand for 300 Index, and Site Index. The minimum information required is age of the stand (in years) at time of measurement, the stocking per hectare, the basal area, and mean top height (MTH). </t>
        </r>
      </text>
    </comment>
    <comment ref="A33" authorId="1" shapeId="0" xr:uid="{8256A008-D0D8-4504-9BD6-3030774AFA0C}">
      <text>
        <r>
          <rPr>
            <b/>
            <sz val="8"/>
            <color indexed="81"/>
            <rFont val="Tahoma"/>
            <family val="2"/>
          </rPr>
          <t>Latitude: The approximate latitude of the stand (degrees South). This affects only the height/age relationship</t>
        </r>
      </text>
    </comment>
    <comment ref="A34" authorId="1" shapeId="0" xr:uid="{04BD2688-7E4F-47E3-8665-249E1FBA04AB}">
      <text>
        <r>
          <rPr>
            <b/>
            <sz val="8"/>
            <color indexed="81"/>
            <rFont val="Tahoma"/>
            <family val="2"/>
          </rPr>
          <t>Altitude: The approximate height above sea level of the stand, in metres. This affects only the height/age relationship.</t>
        </r>
        <r>
          <rPr>
            <sz val="8"/>
            <color indexed="81"/>
            <rFont val="Tahoma"/>
            <family val="2"/>
          </rPr>
          <t xml:space="preserve">
</t>
        </r>
      </text>
    </comment>
    <comment ref="A35" authorId="0" shapeId="0" xr:uid="{B01008FC-57F0-4811-9319-7D8222E22FE2}">
      <text>
        <r>
          <rPr>
            <b/>
            <sz val="8"/>
            <color indexed="81"/>
            <rFont val="Tahoma"/>
            <family val="2"/>
          </rPr>
          <t>Soil mineral Carbon in the upper 5 cm (% per unit of soil oven dried weight). Typical values are 5.57% for unimproved sites &amp; 7.14% for improved sites (see LUCAS Soil Productivity Drivers paper). If not specified, a default value of 5.57% is used.</t>
        </r>
      </text>
    </comment>
    <comment ref="A36" authorId="0" shapeId="0" xr:uid="{5FAFD2D0-DED1-42B3-BE3B-BBFBD7559DBE}">
      <text>
        <r>
          <rPr>
            <b/>
            <sz val="8"/>
            <color indexed="81"/>
            <rFont val="Tahoma"/>
            <family val="2"/>
          </rPr>
          <t>Soil total Nitrogen in the upper 5 cm (% per unit of soil oven dried weight). Typical values are 0.296% for unimproved sites &amp; 0.524% for improved sites (see LUCAS Soil Productivity Drivers paper). If not specified, a default value of 0.296% is used.</t>
        </r>
      </text>
    </comment>
    <comment ref="A37" authorId="0" shapeId="0" xr:uid="{5C8217F7-7F3D-43D3-A8E8-876FD1515236}">
      <text>
        <r>
          <rPr>
            <b/>
            <sz val="8"/>
            <color indexed="81"/>
            <rFont val="Tahoma"/>
            <family val="2"/>
          </rPr>
          <t>Soil Organic Phosphorus in the upper 5 cm (mg/kg). This can be estimated by subtracting the sum of 3 sequential Bray2 P extractions from the total P. Typical values are 333 mg/kg for unimproved sites &amp; 713 mg/kg for improved sites (see LUCAS Soil Productivity Drivers paper). If not specified, a default value of 333 mg/kg  is used.</t>
        </r>
      </text>
    </comment>
    <comment ref="A38" authorId="0" shapeId="0" xr:uid="{D8638D16-CDB5-438A-BF41-19DD456D5C78}">
      <text>
        <r>
          <rPr>
            <b/>
            <sz val="8"/>
            <color indexed="81"/>
            <rFont val="Tahoma"/>
            <family val="2"/>
          </rPr>
          <t>Mean needle retention in years. If not specified, a default value of 2.1 years is used.</t>
        </r>
      </text>
    </comment>
    <comment ref="A39" authorId="1" shapeId="0" xr:uid="{DBED15FA-0C55-4A72-B7F7-673D30335D3D}">
      <text>
        <r>
          <rPr>
            <b/>
            <sz val="8"/>
            <color indexed="81"/>
            <rFont val="Tahoma"/>
            <family val="2"/>
          </rPr>
          <t>Survival:The percentage of trees that were planted that have survived to age 1-3 years. If not specified, a default value of 100% is used.</t>
        </r>
      </text>
    </comment>
    <comment ref="A40" authorId="0" shapeId="0" xr:uid="{5D1DF150-E3A9-40D5-9079-9B157E06F5B4}">
      <text>
        <r>
          <rPr>
            <b/>
            <sz val="8"/>
            <color indexed="81"/>
            <rFont val="Tahoma"/>
            <family val="2"/>
          </rPr>
          <t>Mean annual temperature. If not specified, a default value of 12ºC is used.</t>
        </r>
      </text>
    </comment>
    <comment ref="A41" authorId="1" shapeId="0" xr:uid="{6A4F3B90-4586-490D-A0EC-8B6B738736DA}">
      <text>
        <r>
          <rPr>
            <b/>
            <sz val="8"/>
            <color indexed="81"/>
            <rFont val="Tahoma"/>
            <family val="2"/>
          </rPr>
          <t>Volume mean annual increment (MAI) at a reference age for a reference regime.
300 Index (radiata pine): MAI at age 30 years for a stand pruned to 6m and thinned at completion of pruning to achieve a stocking of 300 stems/ha at age 30 years.
500 Index (Dougals-fir): MAI at age 40 years of a stand planted at 1650 stems/ha, and thinned at 15m MTH to 500 stems/ha.
These indices may be estimated from actual data using the calibration measurement.</t>
        </r>
      </text>
    </comment>
    <comment ref="A42" authorId="1" shapeId="0" xr:uid="{1C0417B2-B51E-49E5-8C17-4AF4701EE4E8}">
      <text>
        <r>
          <rPr>
            <b/>
            <sz val="8"/>
            <color indexed="81"/>
            <rFont val="Tahoma"/>
            <family val="2"/>
          </rPr>
          <t>Site Index: The mean top height in metres (height of the largest 100 diameter trees/ha) at age 20 years (300 Index model) or 40 years (500 Index model). This index is a key component of the growth model, and may be estimated from actual data using the calibration measurement.</t>
        </r>
      </text>
    </comment>
    <comment ref="A44" authorId="0" shapeId="0" xr:uid="{27D62EA4-4ECC-45B8-B212-25FC7E5B96F2}">
      <text>
        <r>
          <rPr>
            <b/>
            <sz val="8"/>
            <color indexed="81"/>
            <rFont val="Tahoma"/>
            <family val="2"/>
          </rPr>
          <t>These cells can be used for entering a measurement of actual density at breast height. If left blank, density will be predicted from environmental variables using data (Soil C &amp; N and Temperature). However, if a measurement or estimate of density is available from a breast height core, it can be entered into these field. If the density specified is an outerwood density (defined as density of the outer 5 cm stem wood at breast height for Pinus radiata), the age when this was assessed should be entered. If the core is a complete core or a segment for a specified range of rings, the inner and outer rings (numbered from pith) are entered, If no age or ring values are specified, the density is assumed to be constant at the specified value for all rings.</t>
        </r>
      </text>
    </comment>
    <comment ref="A51" authorId="2" shapeId="0" xr:uid="{57B81826-E678-4AE1-B759-CC359BBA4799}">
      <text>
        <r>
          <rPr>
            <b/>
            <sz val="8"/>
            <color indexed="81"/>
            <rFont val="Tahoma"/>
            <family val="2"/>
          </rPr>
          <t xml:space="preserve">The Drift Parameter can be used to correct Growth Model bias for specific site types or regions. The parameter indicates 'drift' in the 300 Index over time in m3/ha/yr2, Allowed range -1.0 to 1.0. 
PMC Report No. 107 recomends the following regional values:
-0.30 Northern coastal sand
-0.20 Auckland
-0.05 Bay of Plenty, West Coast, Canterbury
0.00 Northland, Wanganui/Manawatu, Southern coastal sand
0.05 Waikato, Hawkes Bay, Taranaki, Nelson
0.10 Marlborough
0.15 Gisborne
0.25 Wellington, Otago
0.30 Southland
Except for Sand sites, add 0.05 for Forest sites and subtract 0.05 for Farm sites.
If unspecified, a default value of 0 is used.
</t>
        </r>
      </text>
    </comment>
    <comment ref="A52" authorId="2" shapeId="0" xr:uid="{65449C29-4BE5-4F57-AFC5-1DC9C71716A5}">
      <text>
        <r>
          <rPr>
            <b/>
            <sz val="8"/>
            <color indexed="81"/>
            <rFont val="Tahoma"/>
            <family val="2"/>
          </rPr>
          <t>Additive Annual Mortality Adjustment (only used for species codes PRAD &amp; DFIR - not available for PMEN). This user-entered mortality (%/yr) is added to the model prediction. Eg, the model does not predict mortality due to storm events which experience suggests may account for an additional 0.2% annual mortality. This can be entered using this cell if desired. Allowed range 0 - 1%. If unspecified, a default value of 0 is used.</t>
        </r>
      </text>
    </comment>
    <comment ref="A53" authorId="1" shapeId="0" xr:uid="{BDA69FC0-4622-483C-AFAD-A9E34B4B70F1}">
      <text>
        <r>
          <rPr>
            <b/>
            <sz val="8"/>
            <color indexed="81"/>
            <rFont val="Tahoma"/>
            <family val="2"/>
          </rPr>
          <t>Multiplicative Mortality Adjustment (available for use with all species): a manual over-ride for the prediction of mortality. Entering a value of -20% results in the predicted mortality being reduced by 20%. Entering -100% results in zero mortality. 100% doubles mortality. Use with caution. Allowed range -100 to +200%. If unspecified, a default value of 0 is used.</t>
        </r>
        <r>
          <rPr>
            <sz val="8"/>
            <color indexed="81"/>
            <rFont val="Tahoma"/>
            <family val="2"/>
          </rPr>
          <t xml:space="preserve">
</t>
        </r>
      </text>
    </comment>
    <comment ref="A54" authorId="1" shapeId="0" xr:uid="{224C7F97-F66D-499E-9697-C39BBF7986AA}">
      <text>
        <r>
          <rPr>
            <b/>
            <sz val="8"/>
            <color indexed="81"/>
            <rFont val="Tahoma"/>
            <family val="2"/>
          </rPr>
          <t>Clearfell yield (%): the percentage of the total standing volume which is removed from the site. A typical value is 85% with a range of 80% to 90%. If unspecified, a default value of 85% is used.</t>
        </r>
        <r>
          <rPr>
            <sz val="8"/>
            <color indexed="81"/>
            <rFont val="Tahoma"/>
            <family val="2"/>
          </rPr>
          <t xml:space="preserve">
</t>
        </r>
      </text>
    </comment>
    <comment ref="A55" authorId="1" shapeId="0" xr:uid="{E65D6A55-BE14-4AED-8E3F-143C3EFB3303}">
      <text>
        <r>
          <rPr>
            <b/>
            <sz val="8"/>
            <color indexed="81"/>
            <rFont val="Tahoma"/>
            <family val="2"/>
          </rPr>
          <t>Production thinning yield (%): the percentage of the total standing volume in a production thinning which is removed from the site. If unspecified, a defult value of 75% is used.</t>
        </r>
        <r>
          <rPr>
            <sz val="8"/>
            <color indexed="81"/>
            <rFont val="Tahoma"/>
            <family val="2"/>
          </rPr>
          <t xml:space="preserve">
</t>
        </r>
      </text>
    </comment>
    <comment ref="A56" authorId="1" shapeId="0" xr:uid="{F9D4C399-75CB-42B7-8BFF-E1374D912CCE}">
      <text>
        <r>
          <rPr>
            <b/>
            <sz val="8"/>
            <color indexed="81"/>
            <rFont val="Tahoma"/>
            <family val="2"/>
          </rPr>
          <t xml:space="preserve">Percentage of crown removed at any harvest (clearfell or production thin).
Note that -100 here with waste thinning gives double slash retained at rotation age for LTSP1 series. Note that waste thinning needs to be specified for LTSP1 - because double slash was left at final harvest. If unspecified, a default value of 0% is used.
</t>
        </r>
        <r>
          <rPr>
            <sz val="8"/>
            <color indexed="81"/>
            <rFont val="Tahoma"/>
            <family val="2"/>
          </rPr>
          <t xml:space="preserve">
</t>
        </r>
      </text>
    </comment>
    <comment ref="A57" authorId="1" shapeId="0" xr:uid="{9F85D5CA-A7FC-4CFE-BC22-30E36ACC8F2C}">
      <text>
        <r>
          <rPr>
            <b/>
            <sz val="8"/>
            <color indexed="81"/>
            <rFont val="Tahoma"/>
            <family val="2"/>
          </rPr>
          <t>Percentage of forest floor removed at clearfell harvest, including % of havest residues left on forest floor. If unspecified, a default value of 0% is used.</t>
        </r>
        <r>
          <rPr>
            <sz val="8"/>
            <color indexed="81"/>
            <rFont val="Tahoma"/>
            <family val="2"/>
          </rPr>
          <t xml:space="preserve">
</t>
        </r>
      </text>
    </comment>
    <comment ref="A60" authorId="3" shapeId="0" xr:uid="{59F6A194-EDC6-4345-914C-883975356FAE}">
      <text>
        <r>
          <rPr>
            <b/>
            <sz val="8"/>
            <color indexed="81"/>
            <rFont val="Tahoma"/>
            <family val="2"/>
          </rPr>
          <t>1: Standard mode: Use calibration meaurement if available to estimate productivity indices. Otherwise use specified productivity indices.
2. Offset mode: Uses specified productivity indices but applies offsets to ensure that MTH and BA are consistent with calibration measurement.
3. Index mode: Ignore calibration measurement and use specified productivity indices.</t>
        </r>
      </text>
    </comment>
  </commentList>
</comments>
</file>

<file path=xl/sharedStrings.xml><?xml version="1.0" encoding="utf-8"?>
<sst xmlns="http://schemas.openxmlformats.org/spreadsheetml/2006/main" count="405" uniqueCount="252">
  <si>
    <t>300 Index Growth Model Version 1.09 (CTRL+A)</t>
  </si>
  <si>
    <t>Model last updated June 2014</t>
  </si>
  <si>
    <t>Crop elements</t>
  </si>
  <si>
    <t>Site Productivity Indices</t>
  </si>
  <si>
    <t>Site Location</t>
  </si>
  <si>
    <t>Stocking</t>
  </si>
  <si>
    <t>MTH</t>
  </si>
  <si>
    <t>Volume</t>
  </si>
  <si>
    <t>BA</t>
  </si>
  <si>
    <t>DBH</t>
  </si>
  <si>
    <t>Mean</t>
  </si>
  <si>
    <t>Element 1</t>
  </si>
  <si>
    <t>Element 2</t>
  </si>
  <si>
    <t>Element 3</t>
  </si>
  <si>
    <t>Element 4</t>
  </si>
  <si>
    <t>DBH20</t>
  </si>
  <si>
    <t>Pruning</t>
  </si>
  <si>
    <t>Lift</t>
  </si>
  <si>
    <t>Density</t>
  </si>
  <si>
    <t>300Index</t>
  </si>
  <si>
    <t>Latitude</t>
  </si>
  <si>
    <t>Age</t>
  </si>
  <si>
    <t>b4 thin</t>
  </si>
  <si>
    <t>aft thin</t>
  </si>
  <si>
    <t>Crown Lth</t>
  </si>
  <si>
    <t>Height</t>
  </si>
  <si>
    <t>stocking</t>
  </si>
  <si>
    <t>dia</t>
  </si>
  <si>
    <t>vol</t>
  </si>
  <si>
    <t>stems</t>
  </si>
  <si>
    <t>height</t>
  </si>
  <si>
    <t>Mortality</t>
  </si>
  <si>
    <t>Sheath</t>
  </si>
  <si>
    <t>Tree</t>
  </si>
  <si>
    <t>BH out5rings</t>
  </si>
  <si>
    <t>BH outring</t>
  </si>
  <si>
    <t>SI</t>
  </si>
  <si>
    <t>Altitude</t>
  </si>
  <si>
    <t>yrs</t>
  </si>
  <si>
    <t>sph</t>
  </si>
  <si>
    <t>m</t>
  </si>
  <si>
    <t>m3/ha</t>
  </si>
  <si>
    <t>m2/ha</t>
  </si>
  <si>
    <t>cm</t>
  </si>
  <si>
    <t>t/m3</t>
  </si>
  <si>
    <t>Data used to estimate 300 Index (CTRL+I)</t>
  </si>
  <si>
    <t>Sph</t>
  </si>
  <si>
    <t>Mode</t>
  </si>
  <si>
    <t>Vol</t>
  </si>
  <si>
    <t>Data used to estimate Site Index (CTRL+J)</t>
  </si>
  <si>
    <t>Stocking history</t>
  </si>
  <si>
    <t>thinning</t>
  </si>
  <si>
    <t>coeff.</t>
  </si>
  <si>
    <t>dbh ratio</t>
  </si>
  <si>
    <t>Pruning history</t>
  </si>
  <si>
    <t>pruninng</t>
  </si>
  <si>
    <t>Other options</t>
  </si>
  <si>
    <t>Fell age</t>
  </si>
  <si>
    <t>Step length</t>
  </si>
  <si>
    <t>Bias</t>
  </si>
  <si>
    <t>Volume table (place X in box)</t>
  </si>
  <si>
    <t>Correctn</t>
  </si>
  <si>
    <t>2007 Model</t>
  </si>
  <si>
    <t>x</t>
  </si>
  <si>
    <t>Old</t>
  </si>
  <si>
    <t>2006 Model</t>
  </si>
  <si>
    <t>Young</t>
  </si>
  <si>
    <t>Direct sawlog V182</t>
  </si>
  <si>
    <t>Woodhill V236</t>
  </si>
  <si>
    <t>Otago/Sthld V328</t>
  </si>
  <si>
    <t>Kaingaroa V358</t>
  </si>
  <si>
    <t>Northland V11</t>
  </si>
  <si>
    <t>V430</t>
  </si>
  <si>
    <t>NZ 3-point taper</t>
  </si>
  <si>
    <t>NSW 1</t>
  </si>
  <si>
    <t>NSW 2</t>
  </si>
  <si>
    <t>Height model (place X in box)</t>
  </si>
  <si>
    <t>Drift</t>
  </si>
  <si>
    <t>NSW</t>
  </si>
  <si>
    <t>NZ</t>
  </si>
  <si>
    <t>Mortality model (place X in box)</t>
  </si>
  <si>
    <t>Add</t>
  </si>
  <si>
    <t>NZ 2004 model</t>
  </si>
  <si>
    <t>Mult</t>
  </si>
  <si>
    <t>NZ simple model</t>
  </si>
  <si>
    <t>Thin</t>
  </si>
  <si>
    <t>NZ 2006 model</t>
  </si>
  <si>
    <t>NZ 2007 model</t>
  </si>
  <si>
    <t>Wood Density</t>
  </si>
  <si>
    <t>Soil C</t>
  </si>
  <si>
    <t>Soil N</t>
  </si>
  <si>
    <t>MATemp</t>
  </si>
  <si>
    <t>Out Dens</t>
  </si>
  <si>
    <t>Out Age</t>
  </si>
  <si>
    <t>Inner ring</t>
  </si>
  <si>
    <t>Outer ring</t>
  </si>
  <si>
    <t>Genetic adjustment</t>
  </si>
  <si>
    <t>Model</t>
  </si>
  <si>
    <t>New Zealand Redwood &amp; Cypress Growth Models</t>
  </si>
  <si>
    <t>Stand inform-ation</t>
  </si>
  <si>
    <t>Species</t>
  </si>
  <si>
    <t>300-index</t>
  </si>
  <si>
    <t>Site index (m)</t>
  </si>
  <si>
    <t>Post-establishment stocking (stems/ha)</t>
  </si>
  <si>
    <t>Rotation length (years)</t>
  </si>
  <si>
    <t>Thinning schedule</t>
  </si>
  <si>
    <t>Thin 1</t>
  </si>
  <si>
    <t>Thin 2</t>
  </si>
  <si>
    <t>Thin 3</t>
  </si>
  <si>
    <t>Thin 4</t>
  </si>
  <si>
    <t>Pruning schedule</t>
  </si>
  <si>
    <t>Lift 1</t>
  </si>
  <si>
    <t>Lift 2</t>
  </si>
  <si>
    <t>Lift 3</t>
  </si>
  <si>
    <t>Lift 4</t>
  </si>
  <si>
    <t>Waste/production thin</t>
  </si>
  <si>
    <t>Age at pruning (years)</t>
  </si>
  <si>
    <t>Age at thinning (years)</t>
  </si>
  <si>
    <t>Number of stems pruned (stems/ha)</t>
  </si>
  <si>
    <t>Stocking after thinning (stems/ha)</t>
  </si>
  <si>
    <t>Pruned height (m)</t>
  </si>
  <si>
    <t>Thinning coefficient</t>
  </si>
  <si>
    <t xml:space="preserve">   Site productivity indices:</t>
  </si>
  <si>
    <t>Diameter distribution:</t>
  </si>
  <si>
    <t>Metrics used to estimate indices</t>
  </si>
  <si>
    <t>Age (years)</t>
  </si>
  <si>
    <t>Stocking (stems/ha)</t>
  </si>
  <si>
    <t>Height (m)</t>
  </si>
  <si>
    <r>
      <t>DBH (cm) or BA (m</t>
    </r>
    <r>
      <rPr>
        <vertAlign val="superscript"/>
        <sz val="10"/>
        <color rgb="FF000000"/>
        <rFont val="Arial"/>
        <family val="2"/>
      </rPr>
      <t>2</t>
    </r>
    <r>
      <rPr>
        <sz val="10"/>
        <color indexed="8"/>
        <rFont val="Arial"/>
        <family val="2"/>
      </rPr>
      <t>/ha)</t>
    </r>
  </si>
  <si>
    <t>Early height</t>
  </si>
  <si>
    <t>MTH (m)</t>
  </si>
  <si>
    <t>Other parameters</t>
  </si>
  <si>
    <t>Annual attritional mortality (%)</t>
  </si>
  <si>
    <t>CV of DBH distribution</t>
  </si>
  <si>
    <t>Log length at harvest (m)</t>
  </si>
  <si>
    <t>Minimum log SED (mm)</t>
  </si>
  <si>
    <t>Stem break height (%)</t>
  </si>
  <si>
    <t>Volume losses at harvest (%)</t>
  </si>
  <si>
    <r>
      <t>Wood density adjustment (</t>
    </r>
    <r>
      <rPr>
        <sz val="10"/>
        <color indexed="8"/>
        <rFont val="Calibri"/>
        <family val="2"/>
      </rPr>
      <t>±</t>
    </r>
    <r>
      <rPr>
        <sz val="10"/>
        <color indexed="8"/>
        <rFont val="Arial"/>
        <family val="2"/>
      </rPr>
      <t>%</t>
    </r>
    <r>
      <rPr>
        <sz val="11"/>
        <color theme="1"/>
        <rFont val="Calibri"/>
        <family val="2"/>
        <scheme val="minor"/>
      </rPr>
      <t>)</t>
    </r>
  </si>
  <si>
    <t>AG dead wood decay half life (years)</t>
  </si>
  <si>
    <t>BG dead wood decay half life (years)</t>
  </si>
  <si>
    <t>Latitude (ºS)</t>
  </si>
  <si>
    <t>Elevation (m)</t>
  </si>
  <si>
    <t>Soil C%</t>
  </si>
  <si>
    <t>Soil N%</t>
  </si>
  <si>
    <t>Mean annual temperature (ºC)</t>
  </si>
  <si>
    <t>Drift factor</t>
  </si>
  <si>
    <t>Starting tree list</t>
  </si>
  <si>
    <t>Plot area (ha)</t>
  </si>
  <si>
    <t>Stem number</t>
  </si>
  <si>
    <t>DBH (cm)</t>
  </si>
  <si>
    <t>Forest Carbon Predictor Version 5.2 with NuBalm and new Douglas-fir wood density model (October 2018)</t>
  </si>
  <si>
    <t>Yield Table</t>
  </si>
  <si>
    <t>Carbon Predictions</t>
  </si>
  <si>
    <t>Shrub Understorey</t>
  </si>
  <si>
    <t>Carbon predictiona</t>
  </si>
  <si>
    <t>PRAD</t>
  </si>
  <si>
    <t>Rotation 1</t>
  </si>
  <si>
    <t>Rotation 2</t>
  </si>
  <si>
    <t>Initial stocking (stems/ha)</t>
  </si>
  <si>
    <t>Aft thin</t>
  </si>
  <si>
    <t>Net</t>
  </si>
  <si>
    <t>Dead</t>
  </si>
  <si>
    <t>harvested</t>
  </si>
  <si>
    <t>Total</t>
  </si>
  <si>
    <t>AGL</t>
  </si>
  <si>
    <t>BGL</t>
  </si>
  <si>
    <t>DWL</t>
  </si>
  <si>
    <t>FL</t>
  </si>
  <si>
    <t>BGDWL</t>
  </si>
  <si>
    <t>Wood</t>
  </si>
  <si>
    <t>Bark</t>
  </si>
  <si>
    <t>Live branches</t>
  </si>
  <si>
    <t>Dead branches</t>
  </si>
  <si>
    <t>Foliage</t>
  </si>
  <si>
    <t>1st rotation length (years)</t>
  </si>
  <si>
    <t>years</t>
  </si>
  <si>
    <t>stems/ha</t>
  </si>
  <si>
    <t>kg/m3</t>
  </si>
  <si>
    <t>tC/ha</t>
  </si>
  <si>
    <t>2nd rotation length (years)</t>
  </si>
  <si>
    <t>Thinning</t>
  </si>
  <si>
    <t>Type</t>
  </si>
  <si>
    <t>Stocking after</t>
  </si>
  <si>
    <t>(W or P)</t>
  </si>
  <si>
    <t>(years)</t>
  </si>
  <si>
    <t>(stems/ha)</t>
  </si>
  <si>
    <t>Pr. Stocking</t>
  </si>
  <si>
    <t>Pr. Height</t>
  </si>
  <si>
    <t>(1 - 5)</t>
  </si>
  <si>
    <t>(m)</t>
  </si>
  <si>
    <t>Calibration measurement</t>
  </si>
  <si>
    <t>Stocking (stems/hs)</t>
  </si>
  <si>
    <r>
      <t>BA (m</t>
    </r>
    <r>
      <rPr>
        <vertAlign val="superscript"/>
        <sz val="10"/>
        <rFont val="Arial"/>
        <family val="2"/>
      </rPr>
      <t>2</t>
    </r>
    <r>
      <rPr>
        <sz val="10"/>
        <rFont val="Arial"/>
        <family val="2"/>
      </rPr>
      <t>/ha)</t>
    </r>
  </si>
  <si>
    <t>Site</t>
  </si>
  <si>
    <t>Soil Organic P (mg/kg)</t>
  </si>
  <si>
    <t>Needle Retention (years)</t>
  </si>
  <si>
    <t>Early survival (%)</t>
  </si>
  <si>
    <t>M A Temperature (ºC)</t>
  </si>
  <si>
    <r>
      <t>Volume MAI Index (m</t>
    </r>
    <r>
      <rPr>
        <vertAlign val="superscript"/>
        <sz val="10"/>
        <rFont val="Arial"/>
        <family val="2"/>
      </rPr>
      <t>3</t>
    </r>
    <r>
      <rPr>
        <sz val="10"/>
        <rFont val="Arial"/>
        <family val="2"/>
      </rPr>
      <t>/ha/yr)</t>
    </r>
  </si>
  <si>
    <t>Site Index (m)</t>
  </si>
  <si>
    <t>Wood density</t>
  </si>
  <si>
    <r>
      <t>Core Density (kg/m</t>
    </r>
    <r>
      <rPr>
        <vertAlign val="superscript"/>
        <sz val="10"/>
        <rFont val="Arial"/>
        <family val="2"/>
      </rPr>
      <t>3</t>
    </r>
    <r>
      <rPr>
        <sz val="10"/>
        <rFont val="Arial"/>
        <family val="2"/>
      </rPr>
      <t>)</t>
    </r>
  </si>
  <si>
    <t>OWD Age (years)</t>
  </si>
  <si>
    <t>Inner ring (no. from pith)</t>
  </si>
  <si>
    <t>Outer ring (no. from pith)</t>
  </si>
  <si>
    <t>Mortality +</t>
  </si>
  <si>
    <t>Mortality x</t>
  </si>
  <si>
    <t>Clearfell Removal %</t>
  </si>
  <si>
    <t>Prod Thin Removal %</t>
  </si>
  <si>
    <t>Crown Removal %</t>
  </si>
  <si>
    <t>Forest floor removal %</t>
  </si>
  <si>
    <r>
      <t xml:space="preserve">Density: </t>
    </r>
    <r>
      <rPr>
        <sz val="10"/>
        <rFont val="Arial"/>
        <family val="2"/>
      </rPr>
      <t>T</t>
    </r>
    <r>
      <rPr>
        <sz val="10"/>
        <rFont val="Arial"/>
        <family val="2"/>
      </rPr>
      <t>ree or Sheath ("T" or "S")</t>
    </r>
  </si>
  <si>
    <t>S</t>
  </si>
  <si>
    <t>Height: Top or Mean ("T" or "M")</t>
  </si>
  <si>
    <t>T</t>
  </si>
  <si>
    <t>Run NuBalM? ("Y" or "N")</t>
  </si>
  <si>
    <t>N</t>
  </si>
  <si>
    <t>Initial litter stocks</t>
  </si>
  <si>
    <t>Dry matter (t/ha)</t>
  </si>
  <si>
    <t>N (kg/ha)</t>
  </si>
  <si>
    <t>P (kg/ha)</t>
  </si>
  <si>
    <t>Needle litter</t>
  </si>
  <si>
    <t>Branch litter</t>
  </si>
  <si>
    <t>Stem litter</t>
  </si>
  <si>
    <t>Coarse root litter</t>
  </si>
  <si>
    <t>Fine root litter</t>
  </si>
  <si>
    <t>Age 10</t>
  </si>
  <si>
    <t>Age 20</t>
  </si>
  <si>
    <t>Age 30</t>
  </si>
  <si>
    <t>Age 40</t>
  </si>
  <si>
    <t>Age 50</t>
  </si>
  <si>
    <t>Age 60</t>
  </si>
  <si>
    <t>300 Index</t>
  </si>
  <si>
    <t>Plant stocking</t>
  </si>
  <si>
    <t>Thin age</t>
  </si>
  <si>
    <t>Thin density</t>
  </si>
  <si>
    <t>Allowed species</t>
  </si>
  <si>
    <t>Blackwood</t>
  </si>
  <si>
    <t>Coast redwood</t>
  </si>
  <si>
    <r>
      <t xml:space="preserve">Cupressus macrocarpa </t>
    </r>
    <r>
      <rPr>
        <sz val="11"/>
        <color theme="1"/>
        <rFont val="Calibri"/>
        <family val="2"/>
        <scheme val="minor"/>
      </rPr>
      <t>(N.I.)</t>
    </r>
  </si>
  <si>
    <r>
      <t xml:space="preserve">Cupressus macrocarpa </t>
    </r>
    <r>
      <rPr>
        <sz val="11"/>
        <color theme="1"/>
        <rFont val="Calibri"/>
        <family val="2"/>
        <scheme val="minor"/>
      </rPr>
      <t>(S.I.)</t>
    </r>
  </si>
  <si>
    <r>
      <t xml:space="preserve">Cupressus lusitanica </t>
    </r>
    <r>
      <rPr>
        <sz val="11"/>
        <color theme="1"/>
        <rFont val="Calibri"/>
        <family val="2"/>
        <scheme val="minor"/>
      </rPr>
      <t>(N.I.)</t>
    </r>
  </si>
  <si>
    <r>
      <t xml:space="preserve">Cupressus lusitanica </t>
    </r>
    <r>
      <rPr>
        <sz val="11"/>
        <color theme="1"/>
        <rFont val="Calibri"/>
        <family val="2"/>
        <scheme val="minor"/>
      </rPr>
      <t>(S.I.)</t>
    </r>
  </si>
  <si>
    <t>Douglas-fir</t>
  </si>
  <si>
    <t>Eucalyptus regnans</t>
  </si>
  <si>
    <t>Eucalyptus fastigata</t>
  </si>
  <si>
    <r>
      <t xml:space="preserve">Eucalyptus nitens </t>
    </r>
    <r>
      <rPr>
        <sz val="11"/>
        <color theme="1"/>
        <rFont val="Calibri"/>
        <family val="2"/>
        <scheme val="minor"/>
      </rPr>
      <t>(N.I.)</t>
    </r>
  </si>
  <si>
    <r>
      <t xml:space="preserve">Eucalyptus nitens </t>
    </r>
    <r>
      <rPr>
        <sz val="11"/>
        <color theme="1"/>
        <rFont val="Calibri"/>
        <family val="2"/>
        <scheme val="minor"/>
      </rPr>
      <t>(S.I.)</t>
    </r>
  </si>
  <si>
    <t>Eucalyptus delegatensis</t>
  </si>
  <si>
    <t>Eucalyptus saligna</t>
  </si>
  <si>
    <t>Radiata pine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</si>
</sst>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12"/>
      <name val="Arial"/>
      <family val="2"/>
    </font>
    <font>
      <b/>
      <sz val="10"/>
      <name val="Arial"/>
      <family val="2"/>
    </font>
    <font>
      <b/>
      <sz val="8"/>
      <color indexed="81"/>
      <name val="Tahoma"/>
      <family val="2"/>
    </font>
    <font>
      <sz val="8"/>
      <color rgb="FF000000"/>
      <name val="Segoe UI"/>
      <family val="2"/>
    </font>
    <font>
      <b/>
      <sz val="14"/>
      <color theme="0"/>
      <name val="Calibri"/>
      <family val="2"/>
      <scheme val="minor"/>
    </font>
    <font>
      <b/>
      <sz val="10"/>
      <color indexed="8"/>
      <name val="Arial"/>
      <family val="2"/>
    </font>
    <font>
      <sz val="10"/>
      <color indexed="8"/>
      <name val="Arial"/>
      <family val="2"/>
    </font>
    <font>
      <b/>
      <sz val="10"/>
      <color theme="1"/>
      <name val="Arial"/>
      <family val="2"/>
    </font>
    <font>
      <sz val="10"/>
      <color theme="1"/>
      <name val="Arial"/>
      <family val="2"/>
    </font>
    <font>
      <sz val="11"/>
      <color rgb="FFFFF2CC"/>
      <name val="Calibri"/>
      <family val="2"/>
      <scheme val="minor"/>
    </font>
    <font>
      <b/>
      <sz val="14"/>
      <color rgb="FFC6513A"/>
      <name val="Calibri"/>
      <family val="2"/>
      <scheme val="minor"/>
    </font>
    <font>
      <b/>
      <sz val="14"/>
      <color rgb="FFC00000"/>
      <name val="Calibri"/>
      <family val="2"/>
      <scheme val="minor"/>
    </font>
    <font>
      <b/>
      <sz val="14"/>
      <color theme="1"/>
      <name val="Calibri"/>
      <family val="2"/>
      <scheme val="minor"/>
    </font>
    <font>
      <vertAlign val="superscript"/>
      <sz val="10"/>
      <color rgb="FF000000"/>
      <name val="Arial"/>
      <family val="2"/>
    </font>
    <font>
      <sz val="10"/>
      <color indexed="8"/>
      <name val="Calibri"/>
      <family val="2"/>
    </font>
    <font>
      <sz val="8"/>
      <color indexed="81"/>
      <name val="Tahoma"/>
      <family val="2"/>
    </font>
    <font>
      <b/>
      <sz val="11"/>
      <color indexed="8"/>
      <name val="Arial"/>
      <family val="2"/>
    </font>
    <font>
      <sz val="9"/>
      <color indexed="81"/>
      <name val="Tahoma"/>
      <family val="2"/>
    </font>
    <font>
      <vertAlign val="superscript"/>
      <sz val="10"/>
      <name val="Arial"/>
      <family val="2"/>
    </font>
    <font>
      <i/>
      <sz val="11"/>
      <color theme="1"/>
      <name val="Calibri"/>
      <family val="2"/>
      <scheme val="minor"/>
    </font>
  </fonts>
  <fills count="15">
    <fill>
      <patternFill patternType="none"/>
    </fill>
    <fill>
      <patternFill patternType="gray125"/>
    </fill>
    <fill>
      <patternFill patternType="solid">
        <fgColor indexed="26"/>
        <bgColor indexed="64"/>
      </patternFill>
    </fill>
    <fill>
      <patternFill patternType="solid">
        <fgColor rgb="FFCC6600"/>
        <bgColor rgb="FFC6513A"/>
      </patternFill>
    </fill>
    <fill>
      <patternFill patternType="solid">
        <fgColor theme="7" tint="0.79998168889431442"/>
        <bgColor theme="7" tint="0.79995117038483843"/>
      </patternFill>
    </fill>
    <fill>
      <patternFill patternType="solid">
        <fgColor indexed="42"/>
        <bgColor theme="9" tint="0.79998168889431442"/>
      </patternFill>
    </fill>
    <fill>
      <patternFill patternType="solid">
        <fgColor theme="7" tint="0.79998168889431442"/>
        <bgColor theme="7" tint="0.79998168889431442"/>
      </patternFill>
    </fill>
    <fill>
      <patternFill patternType="solid">
        <fgColor theme="7" tint="0.79998168889431442"/>
        <bgColor indexed="64"/>
      </patternFill>
    </fill>
    <fill>
      <patternFill patternType="solid">
        <fgColor rgb="FFFFF2CC"/>
        <bgColor theme="7" tint="0.79995117038483843"/>
      </patternFill>
    </fill>
    <fill>
      <patternFill patternType="solid">
        <fgColor indexed="43"/>
        <bgColor theme="7" tint="0.79998168889431442"/>
      </patternFill>
    </fill>
    <fill>
      <patternFill patternType="solid">
        <fgColor indexed="65"/>
        <bgColor theme="7" tint="0.79998168889431442"/>
      </patternFill>
    </fill>
    <fill>
      <patternFill patternType="solid">
        <fgColor theme="0" tint="-0.24994659260841701"/>
        <bgColor theme="2" tint="-9.9948118533890809E-2"/>
      </patternFill>
    </fill>
    <fill>
      <patternFill patternType="solid">
        <fgColor indexed="9"/>
        <bgColor indexed="64"/>
      </patternFill>
    </fill>
    <fill>
      <patternFill patternType="solid">
        <fgColor indexed="27"/>
        <bgColor indexed="64"/>
      </patternFill>
    </fill>
    <fill>
      <patternFill patternType="solid">
        <fgColor indexed="4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3" fillId="0" borderId="0"/>
  </cellStyleXfs>
  <cellXfs count="153">
    <xf numFmtId="0" fontId="0" fillId="0" borderId="0" xfId="0"/>
    <xf numFmtId="0" fontId="4" fillId="0" borderId="0" xfId="1" applyFont="1" applyAlignment="1">
      <alignment horizontal="left"/>
    </xf>
    <xf numFmtId="0" fontId="3" fillId="0" borderId="0" xfId="1"/>
    <xf numFmtId="0" fontId="3" fillId="0" borderId="0" xfId="1" applyAlignment="1">
      <alignment horizontal="center"/>
    </xf>
    <xf numFmtId="15" fontId="5" fillId="0" borderId="0" xfId="1" applyNumberFormat="1" applyFont="1"/>
    <xf numFmtId="164" fontId="3" fillId="0" borderId="0" xfId="1" applyNumberFormat="1"/>
    <xf numFmtId="164" fontId="5" fillId="0" borderId="0" xfId="1" applyNumberFormat="1" applyFont="1"/>
    <xf numFmtId="0" fontId="5" fillId="0" borderId="0" xfId="1" applyFont="1"/>
    <xf numFmtId="0" fontId="5" fillId="0" borderId="0" xfId="1" applyFont="1" applyAlignment="1">
      <alignment horizontal="center"/>
    </xf>
    <xf numFmtId="2" fontId="3" fillId="2" borderId="1" xfId="1" applyNumberFormat="1" applyFill="1" applyBorder="1"/>
    <xf numFmtId="0" fontId="3" fillId="2" borderId="1" xfId="1" applyFill="1" applyBorder="1"/>
    <xf numFmtId="2" fontId="5" fillId="0" borderId="0" xfId="1" applyNumberFormat="1" applyFont="1"/>
    <xf numFmtId="2" fontId="3" fillId="0" borderId="0" xfId="1" applyNumberFormat="1"/>
    <xf numFmtId="164" fontId="3" fillId="0" borderId="0" xfId="1" applyNumberFormat="1" applyAlignment="1">
      <alignment horizontal="center"/>
    </xf>
    <xf numFmtId="164" fontId="5" fillId="0" borderId="0" xfId="1" applyNumberFormat="1" applyFont="1" applyAlignment="1">
      <alignment horizontal="center"/>
    </xf>
    <xf numFmtId="164" fontId="3" fillId="2" borderId="1" xfId="1" applyNumberFormat="1" applyFill="1" applyBorder="1"/>
    <xf numFmtId="1" fontId="3" fillId="2" borderId="1" xfId="1" applyNumberFormat="1" applyFill="1" applyBorder="1"/>
    <xf numFmtId="0" fontId="5" fillId="0" borderId="0" xfId="1" applyFont="1" applyAlignment="1">
      <alignment horizontal="right"/>
    </xf>
    <xf numFmtId="0" fontId="8" fillId="3" borderId="0" xfId="0" applyFont="1" applyFill="1"/>
    <xf numFmtId="0" fontId="1" fillId="3" borderId="0" xfId="0" applyFont="1" applyFill="1"/>
    <xf numFmtId="0" fontId="9" fillId="4" borderId="2" xfId="0" applyFont="1" applyFill="1" applyBorder="1" applyAlignment="1">
      <alignment horizontal="left" vertical="top" wrapText="1"/>
    </xf>
    <xf numFmtId="0" fontId="10" fillId="4" borderId="3" xfId="0" applyFont="1" applyFill="1" applyBorder="1" applyAlignment="1">
      <alignment horizontal="left"/>
    </xf>
    <xf numFmtId="0" fontId="0" fillId="0" borderId="2" xfId="0" applyBorder="1"/>
    <xf numFmtId="164" fontId="3" fillId="5" borderId="4" xfId="0" applyNumberFormat="1" applyFont="1" applyFill="1" applyBorder="1" applyAlignment="1" applyProtection="1">
      <alignment horizontal="left"/>
      <protection locked="0"/>
    </xf>
    <xf numFmtId="0" fontId="0" fillId="0" borderId="5" xfId="0" applyBorder="1"/>
    <xf numFmtId="164" fontId="3" fillId="5" borderId="1" xfId="0" applyNumberFormat="1" applyFont="1" applyFill="1" applyBorder="1" applyAlignment="1" applyProtection="1">
      <alignment horizontal="center"/>
      <protection locked="0"/>
    </xf>
    <xf numFmtId="2" fontId="3" fillId="5" borderId="1" xfId="0" applyNumberFormat="1" applyFont="1" applyFill="1" applyBorder="1" applyAlignment="1" applyProtection="1">
      <alignment horizontal="center"/>
      <protection locked="0"/>
    </xf>
    <xf numFmtId="0" fontId="9" fillId="6" borderId="6" xfId="0" applyFont="1" applyFill="1" applyBorder="1" applyAlignment="1">
      <alignment horizontal="left" vertical="top" wrapText="1"/>
    </xf>
    <xf numFmtId="0" fontId="9" fillId="6" borderId="6" xfId="0" applyFont="1" applyFill="1" applyBorder="1" applyAlignment="1">
      <alignment horizontal="left" vertical="top" wrapText="1"/>
    </xf>
    <xf numFmtId="0" fontId="2" fillId="6" borderId="1" xfId="0" applyFont="1" applyFill="1" applyBorder="1" applyAlignment="1">
      <alignment horizontal="left"/>
    </xf>
    <xf numFmtId="0" fontId="11" fillId="6" borderId="1" xfId="0" applyFont="1" applyFill="1" applyBorder="1" applyAlignment="1">
      <alignment horizontal="center"/>
    </xf>
    <xf numFmtId="0" fontId="10" fillId="6" borderId="3" xfId="0" applyFont="1" applyFill="1" applyBorder="1" applyAlignment="1">
      <alignment horizontal="left" vertical="top" wrapText="1"/>
    </xf>
    <xf numFmtId="0" fontId="0" fillId="0" borderId="7" xfId="0" applyBorder="1" applyAlignment="1">
      <alignment horizontal="left"/>
    </xf>
    <xf numFmtId="0" fontId="0" fillId="6" borderId="8" xfId="0" applyFill="1" applyBorder="1" applyAlignment="1">
      <alignment horizontal="left" vertical="top" wrapText="1"/>
    </xf>
    <xf numFmtId="0" fontId="0" fillId="6" borderId="8" xfId="0" applyFill="1" applyBorder="1" applyAlignment="1">
      <alignment horizontal="left" vertical="top" wrapText="1"/>
    </xf>
    <xf numFmtId="0" fontId="12" fillId="6" borderId="6" xfId="0" applyFont="1" applyFill="1" applyBorder="1" applyAlignment="1">
      <alignment horizontal="left" vertical="top"/>
    </xf>
    <xf numFmtId="1" fontId="3" fillId="5" borderId="1" xfId="0" applyNumberFormat="1" applyFont="1" applyFill="1" applyBorder="1" applyAlignment="1" applyProtection="1">
      <alignment horizontal="center"/>
      <protection locked="0"/>
    </xf>
    <xf numFmtId="0" fontId="12" fillId="6" borderId="1" xfId="0" applyFont="1" applyFill="1" applyBorder="1" applyAlignment="1">
      <alignment horizontal="left" vertical="top"/>
    </xf>
    <xf numFmtId="0" fontId="13" fillId="7" borderId="1" xfId="0" applyFont="1" applyFill="1" applyBorder="1" applyAlignment="1" applyProtection="1">
      <alignment horizontal="left" vertical="top"/>
      <protection locked="0"/>
    </xf>
    <xf numFmtId="0" fontId="10" fillId="6" borderId="1" xfId="0" applyFont="1" applyFill="1" applyBorder="1" applyAlignment="1">
      <alignment horizontal="left"/>
    </xf>
    <xf numFmtId="0" fontId="0" fillId="6" borderId="9" xfId="0" applyFill="1" applyBorder="1" applyAlignment="1">
      <alignment horizontal="left" vertical="top" wrapText="1"/>
    </xf>
    <xf numFmtId="0" fontId="10" fillId="6" borderId="10" xfId="0" applyFont="1" applyFill="1" applyBorder="1" applyAlignment="1">
      <alignment horizontal="left" vertical="top" wrapText="1"/>
    </xf>
    <xf numFmtId="0" fontId="0" fillId="0" borderId="11" xfId="0" applyBorder="1" applyAlignment="1">
      <alignment horizontal="left"/>
    </xf>
    <xf numFmtId="0" fontId="0" fillId="6" borderId="9" xfId="0" applyFill="1" applyBorder="1" applyAlignment="1">
      <alignment horizontal="left" vertical="top" wrapText="1"/>
    </xf>
    <xf numFmtId="0" fontId="14" fillId="3" borderId="0" xfId="0" applyFont="1" applyFill="1"/>
    <xf numFmtId="0" fontId="15" fillId="3" borderId="0" xfId="0" applyFont="1" applyFill="1" applyProtection="1">
      <protection locked="0"/>
    </xf>
    <xf numFmtId="0" fontId="15" fillId="3" borderId="0" xfId="0" applyFont="1" applyFill="1"/>
    <xf numFmtId="165" fontId="16" fillId="3" borderId="0" xfId="0" applyNumberFormat="1" applyFont="1" applyFill="1"/>
    <xf numFmtId="0" fontId="9" fillId="8" borderId="6" xfId="0" applyFont="1" applyFill="1" applyBorder="1" applyAlignment="1">
      <alignment horizontal="left" vertical="top" wrapText="1"/>
    </xf>
    <xf numFmtId="0" fontId="9" fillId="8" borderId="6" xfId="0" applyFont="1" applyFill="1" applyBorder="1" applyAlignment="1">
      <alignment horizontal="left" vertical="top" wrapText="1"/>
    </xf>
    <xf numFmtId="0" fontId="10" fillId="8" borderId="1" xfId="0" applyFont="1" applyFill="1" applyBorder="1" applyAlignment="1">
      <alignment horizontal="left"/>
    </xf>
    <xf numFmtId="0" fontId="0" fillId="8" borderId="8" xfId="0" applyFill="1" applyBorder="1" applyAlignment="1">
      <alignment horizontal="left" vertical="top" wrapText="1"/>
    </xf>
    <xf numFmtId="0" fontId="0" fillId="8" borderId="8" xfId="0" applyFill="1" applyBorder="1" applyAlignment="1">
      <alignment horizontal="left" vertical="top" wrapText="1"/>
    </xf>
    <xf numFmtId="0" fontId="0" fillId="8" borderId="9" xfId="0" applyFill="1" applyBorder="1" applyAlignment="1">
      <alignment horizontal="left" vertical="top" wrapText="1"/>
    </xf>
    <xf numFmtId="0" fontId="0" fillId="8" borderId="9" xfId="0" applyFill="1" applyBorder="1" applyAlignment="1">
      <alignment horizontal="left" vertical="top" wrapText="1"/>
    </xf>
    <xf numFmtId="0" fontId="0" fillId="8" borderId="1" xfId="0" applyFill="1" applyBorder="1" applyAlignment="1">
      <alignment horizontal="left"/>
    </xf>
    <xf numFmtId="0" fontId="2" fillId="8" borderId="5" xfId="0" applyFont="1" applyFill="1" applyBorder="1"/>
    <xf numFmtId="0" fontId="0" fillId="8" borderId="5" xfId="0" applyFill="1" applyBorder="1"/>
    <xf numFmtId="0" fontId="10" fillId="8" borderId="10" xfId="0" applyFont="1" applyFill="1" applyBorder="1" applyAlignment="1">
      <alignment horizontal="left"/>
    </xf>
    <xf numFmtId="0" fontId="20" fillId="9" borderId="3" xfId="0" applyFont="1" applyFill="1" applyBorder="1" applyAlignment="1">
      <alignment horizontal="left"/>
    </xf>
    <xf numFmtId="0" fontId="0" fillId="10" borderId="7" xfId="0" applyFill="1" applyBorder="1"/>
    <xf numFmtId="0" fontId="0" fillId="10" borderId="2" xfId="0" applyFill="1" applyBorder="1"/>
    <xf numFmtId="0" fontId="0" fillId="11" borderId="10" xfId="0" applyFill="1" applyBorder="1"/>
    <xf numFmtId="0" fontId="0" fillId="11" borderId="1" xfId="0" applyFill="1" applyBorder="1"/>
    <xf numFmtId="0" fontId="9" fillId="9" borderId="4" xfId="0" applyFont="1" applyFill="1" applyBorder="1" applyAlignment="1">
      <alignment horizontal="left"/>
    </xf>
    <xf numFmtId="0" fontId="9" fillId="9" borderId="3" xfId="0" applyFont="1" applyFill="1" applyBorder="1" applyAlignment="1">
      <alignment horizontal="left"/>
    </xf>
    <xf numFmtId="164" fontId="0" fillId="0" borderId="0" xfId="0" applyNumberFormat="1"/>
    <xf numFmtId="164" fontId="0" fillId="11" borderId="1" xfId="0" applyNumberFormat="1" applyFill="1" applyBorder="1"/>
    <xf numFmtId="0" fontId="9" fillId="9" borderId="9" xfId="0" applyFont="1" applyFill="1" applyBorder="1" applyAlignment="1">
      <alignment horizontal="left"/>
    </xf>
    <xf numFmtId="0" fontId="0" fillId="0" borderId="5" xfId="0" applyBorder="1"/>
    <xf numFmtId="0" fontId="4" fillId="12" borderId="0" xfId="0" applyFont="1" applyFill="1"/>
    <xf numFmtId="0" fontId="0" fillId="12" borderId="0" xfId="0" applyFill="1" applyProtection="1">
      <protection locked="0"/>
    </xf>
    <xf numFmtId="0" fontId="0" fillId="13" borderId="10" xfId="0" applyFill="1" applyBorder="1" applyAlignment="1">
      <alignment horizontal="center"/>
    </xf>
    <xf numFmtId="0" fontId="0" fillId="0" borderId="11" xfId="0" applyBorder="1"/>
    <xf numFmtId="0" fontId="0" fillId="12" borderId="8" xfId="0" applyFill="1" applyBorder="1"/>
    <xf numFmtId="0" fontId="0" fillId="13" borderId="7" xfId="0" applyFill="1" applyBorder="1" applyAlignment="1">
      <alignment horizontal="center"/>
    </xf>
    <xf numFmtId="0" fontId="0" fillId="13" borderId="2" xfId="0" applyFill="1" applyBorder="1" applyAlignment="1">
      <alignment horizontal="center"/>
    </xf>
    <xf numFmtId="0" fontId="0" fillId="12" borderId="0" xfId="0" applyFill="1"/>
    <xf numFmtId="0" fontId="0" fillId="13" borderId="3" xfId="0" applyFill="1"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3" fillId="13" borderId="10" xfId="0" applyFont="1" applyFill="1" applyBorder="1"/>
    <xf numFmtId="0" fontId="3" fillId="0" borderId="12" xfId="0" applyFont="1" applyBorder="1"/>
    <xf numFmtId="0" fontId="3" fillId="2" borderId="1" xfId="0" applyFont="1" applyFill="1" applyBorder="1" applyAlignment="1" applyProtection="1">
      <alignment horizontal="center"/>
      <protection locked="0"/>
    </xf>
    <xf numFmtId="0" fontId="0" fillId="13" borderId="3" xfId="0" applyFill="1" applyBorder="1" applyAlignment="1">
      <alignment horizontal="center"/>
    </xf>
    <xf numFmtId="0" fontId="0" fillId="13" borderId="7" xfId="0" applyFill="1" applyBorder="1" applyAlignment="1">
      <alignment horizontal="center"/>
    </xf>
    <xf numFmtId="2" fontId="0" fillId="13" borderId="7" xfId="0" applyNumberFormat="1" applyFill="1" applyBorder="1" applyAlignment="1">
      <alignment horizontal="center"/>
    </xf>
    <xf numFmtId="0" fontId="0" fillId="13" borderId="13" xfId="0" applyFill="1" applyBorder="1" applyAlignment="1">
      <alignment horizontal="center"/>
    </xf>
    <xf numFmtId="0" fontId="0" fillId="13" borderId="14" xfId="0" applyFill="1" applyBorder="1" applyAlignment="1">
      <alignment horizontal="center"/>
    </xf>
    <xf numFmtId="0" fontId="0" fillId="13" borderId="4" xfId="0" applyFill="1" applyBorder="1" applyAlignment="1">
      <alignment horizontal="center"/>
    </xf>
    <xf numFmtId="0" fontId="0" fillId="13" borderId="14" xfId="0" applyFill="1" applyBorder="1" applyAlignment="1">
      <alignment horizontal="center"/>
    </xf>
    <xf numFmtId="0" fontId="0" fillId="13" borderId="15" xfId="0" applyFill="1" applyBorder="1" applyAlignment="1">
      <alignment horizontal="center"/>
    </xf>
    <xf numFmtId="0" fontId="0" fillId="0" borderId="0" xfId="0" applyAlignment="1">
      <alignment horizontal="center"/>
    </xf>
    <xf numFmtId="0" fontId="0" fillId="0" borderId="5" xfId="0" applyBorder="1" applyAlignment="1">
      <alignment horizontal="center"/>
    </xf>
    <xf numFmtId="1" fontId="0" fillId="2" borderId="1" xfId="0" applyNumberFormat="1" applyFill="1" applyBorder="1" applyAlignment="1" applyProtection="1">
      <alignment horizontal="center"/>
      <protection locked="0"/>
    </xf>
    <xf numFmtId="0" fontId="0" fillId="13" borderId="15" xfId="0" applyFill="1" applyBorder="1"/>
    <xf numFmtId="0" fontId="0" fillId="13" borderId="0" xfId="0" applyFill="1" applyAlignment="1">
      <alignment horizontal="center"/>
    </xf>
    <xf numFmtId="0" fontId="0" fillId="13" borderId="7" xfId="0" applyFill="1" applyBorder="1"/>
    <xf numFmtId="0" fontId="0" fillId="13" borderId="2" xfId="0" applyFill="1" applyBorder="1"/>
    <xf numFmtId="0" fontId="0" fillId="13" borderId="0" xfId="0" applyFill="1"/>
    <xf numFmtId="0" fontId="0" fillId="13" borderId="15" xfId="0" applyFill="1" applyBorder="1" applyAlignment="1">
      <alignment horizontal="center"/>
    </xf>
    <xf numFmtId="0" fontId="0" fillId="13" borderId="2" xfId="0" applyFill="1" applyBorder="1" applyAlignment="1">
      <alignment horizontal="center"/>
    </xf>
    <xf numFmtId="0" fontId="0" fillId="13" borderId="10"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13" borderId="1" xfId="0" applyFill="1" applyBorder="1" applyAlignment="1">
      <alignment horizontal="center" wrapText="1"/>
    </xf>
    <xf numFmtId="0" fontId="0" fillId="2" borderId="1" xfId="0" applyFill="1" applyBorder="1" applyAlignment="1">
      <alignment horizontal="center"/>
    </xf>
    <xf numFmtId="0" fontId="0" fillId="13" borderId="13" xfId="0" applyFill="1" applyBorder="1" applyAlignment="1">
      <alignment horizontal="center"/>
    </xf>
    <xf numFmtId="0" fontId="0" fillId="13" borderId="4"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3" xfId="0" applyBorder="1"/>
    <xf numFmtId="0" fontId="0" fillId="0" borderId="14" xfId="0" applyBorder="1"/>
    <xf numFmtId="0" fontId="0" fillId="2" borderId="15" xfId="0" applyFill="1" applyBorder="1" applyAlignment="1" applyProtection="1">
      <alignment horizontal="center"/>
      <protection locked="0"/>
    </xf>
    <xf numFmtId="1" fontId="0" fillId="2" borderId="0" xfId="0" applyNumberFormat="1" applyFill="1" applyAlignment="1" applyProtection="1">
      <alignment horizontal="center"/>
      <protection locked="0"/>
    </xf>
    <xf numFmtId="164" fontId="0" fillId="2" borderId="0" xfId="0" applyNumberFormat="1" applyFill="1" applyAlignment="1" applyProtection="1">
      <alignment horizontal="center"/>
      <protection locked="0"/>
    </xf>
    <xf numFmtId="164" fontId="0" fillId="14" borderId="7" xfId="0" applyNumberFormat="1" applyFill="1" applyBorder="1" applyAlignment="1" applyProtection="1">
      <alignment horizontal="center"/>
      <protection locked="0"/>
    </xf>
    <xf numFmtId="164" fontId="0" fillId="14" borderId="2" xfId="0" applyNumberFormat="1" applyFill="1" applyBorder="1" applyAlignment="1" applyProtection="1">
      <alignment horizontal="center"/>
      <protection locked="0"/>
    </xf>
    <xf numFmtId="164" fontId="0" fillId="14" borderId="6" xfId="0" applyNumberFormat="1" applyFill="1" applyBorder="1" applyAlignment="1" applyProtection="1">
      <alignment horizontal="center"/>
      <protection locked="0"/>
    </xf>
    <xf numFmtId="164" fontId="0" fillId="2" borderId="15" xfId="0" applyNumberFormat="1" applyFill="1" applyBorder="1" applyAlignment="1" applyProtection="1">
      <alignment horizontal="center"/>
      <protection locked="0"/>
    </xf>
    <xf numFmtId="164" fontId="0" fillId="2" borderId="5" xfId="0" applyNumberFormat="1" applyFill="1" applyBorder="1" applyAlignment="1" applyProtection="1">
      <alignment horizontal="center"/>
      <protection locked="0"/>
    </xf>
    <xf numFmtId="164" fontId="0" fillId="2" borderId="3" xfId="0" applyNumberFormat="1" applyFill="1" applyBorder="1" applyAlignment="1" applyProtection="1">
      <alignment horizontal="center"/>
      <protection locked="0"/>
    </xf>
    <xf numFmtId="164" fontId="0" fillId="14" borderId="0" xfId="0" applyNumberFormat="1" applyFill="1" applyAlignment="1" applyProtection="1">
      <alignment horizontal="center"/>
      <protection locked="0"/>
    </xf>
    <xf numFmtId="164" fontId="0" fillId="14" borderId="5" xfId="0" applyNumberFormat="1" applyFill="1" applyBorder="1" applyAlignment="1" applyProtection="1">
      <alignment horizontal="center"/>
      <protection locked="0"/>
    </xf>
    <xf numFmtId="164" fontId="0" fillId="14" borderId="8" xfId="0" applyNumberFormat="1" applyFill="1" applyBorder="1" applyAlignment="1" applyProtection="1">
      <alignment horizontal="center"/>
      <protection locked="0"/>
    </xf>
    <xf numFmtId="0" fontId="3" fillId="13" borderId="1" xfId="0" applyFont="1" applyFill="1" applyBorder="1" applyAlignment="1">
      <alignment horizontal="center"/>
    </xf>
    <xf numFmtId="0" fontId="3" fillId="13" borderId="6" xfId="0" applyFont="1" applyFill="1" applyBorder="1" applyAlignment="1">
      <alignment horizontal="center"/>
    </xf>
    <xf numFmtId="0" fontId="3" fillId="13" borderId="9" xfId="0" applyFont="1" applyFill="1" applyBorder="1" applyAlignment="1">
      <alignment horizontal="center"/>
    </xf>
    <xf numFmtId="0" fontId="3" fillId="13" borderId="4" xfId="0" applyFont="1" applyFill="1" applyBorder="1" applyAlignment="1">
      <alignment horizontal="center"/>
    </xf>
    <xf numFmtId="0" fontId="3" fillId="2" borderId="6" xfId="0" applyFont="1" applyFill="1" applyBorder="1" applyAlignment="1" applyProtection="1">
      <alignment horizontal="center"/>
      <protection locked="0"/>
    </xf>
    <xf numFmtId="0" fontId="0" fillId="2" borderId="3" xfId="0" applyFill="1" applyBorder="1" applyAlignment="1" applyProtection="1">
      <alignment horizontal="center"/>
      <protection locked="0"/>
    </xf>
    <xf numFmtId="1" fontId="0" fillId="2" borderId="6" xfId="0" applyNumberFormat="1" applyFill="1" applyBorder="1" applyAlignment="1" applyProtection="1">
      <alignment horizontal="center"/>
      <protection locked="0"/>
    </xf>
    <xf numFmtId="0" fontId="3" fillId="2" borderId="8" xfId="0" applyFont="1" applyFill="1" applyBorder="1" applyAlignment="1" applyProtection="1">
      <alignment horizontal="center"/>
      <protection locked="0"/>
    </xf>
    <xf numFmtId="1" fontId="0" fillId="2" borderId="8" xfId="0" applyNumberFormat="1"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2" borderId="9" xfId="0" applyFill="1" applyBorder="1" applyAlignment="1" applyProtection="1">
      <alignment horizontal="center"/>
      <protection locked="0"/>
    </xf>
    <xf numFmtId="0" fontId="0" fillId="2" borderId="4" xfId="0" applyFill="1" applyBorder="1" applyAlignment="1" applyProtection="1">
      <alignment horizontal="center"/>
      <protection locked="0"/>
    </xf>
    <xf numFmtId="1" fontId="0" fillId="2" borderId="9" xfId="0" applyNumberFormat="1" applyFill="1" applyBorder="1" applyAlignment="1" applyProtection="1">
      <alignment horizontal="center"/>
      <protection locked="0"/>
    </xf>
    <xf numFmtId="0" fontId="3" fillId="13" borderId="14" xfId="0" applyFont="1" applyFill="1" applyBorder="1" applyAlignment="1">
      <alignment horizontal="center"/>
    </xf>
    <xf numFmtId="164" fontId="0" fillId="2" borderId="2" xfId="0" applyNumberFormat="1" applyFill="1" applyBorder="1" applyAlignment="1" applyProtection="1">
      <alignment horizontal="center"/>
      <protection locked="0"/>
    </xf>
    <xf numFmtId="164" fontId="0" fillId="2" borderId="14" xfId="0" applyNumberFormat="1" applyFill="1" applyBorder="1" applyAlignment="1" applyProtection="1">
      <alignment horizontal="center"/>
      <protection locked="0"/>
    </xf>
    <xf numFmtId="0" fontId="5" fillId="13" borderId="10" xfId="0" applyFont="1" applyFill="1" applyBorder="1" applyAlignment="1">
      <alignment wrapText="1"/>
    </xf>
    <xf numFmtId="0" fontId="5" fillId="0" borderId="12" xfId="0" applyFont="1" applyBorder="1"/>
    <xf numFmtId="0" fontId="0" fillId="13" borderId="10" xfId="0" applyFill="1" applyBorder="1" applyAlignment="1">
      <alignment wrapText="1"/>
    </xf>
    <xf numFmtId="0" fontId="0" fillId="0" borderId="12" xfId="0" applyBorder="1"/>
    <xf numFmtId="0" fontId="0" fillId="0" borderId="0" xfId="0" applyProtection="1">
      <protection locked="0"/>
    </xf>
    <xf numFmtId="0" fontId="3" fillId="13" borderId="10" xfId="0" applyFont="1" applyFill="1" applyBorder="1" applyAlignment="1">
      <alignment wrapText="1"/>
    </xf>
    <xf numFmtId="2" fontId="0" fillId="2" borderId="1" xfId="0" applyNumberFormat="1" applyFill="1" applyBorder="1" applyAlignment="1">
      <alignment horizontal="center"/>
    </xf>
    <xf numFmtId="0" fontId="3" fillId="2" borderId="1" xfId="0" applyFont="1" applyFill="1" applyBorder="1" applyAlignment="1">
      <alignment horizontal="center"/>
    </xf>
    <xf numFmtId="0" fontId="3" fillId="13" borderId="1" xfId="0" applyFont="1" applyFill="1" applyBorder="1" applyAlignment="1">
      <alignment horizontal="center" wrapText="1"/>
    </xf>
    <xf numFmtId="164" fontId="0" fillId="2" borderId="4" xfId="0" applyNumberFormat="1" applyFill="1" applyBorder="1" applyAlignment="1" applyProtection="1">
      <alignment horizontal="center"/>
      <protection locked="0"/>
    </xf>
    <xf numFmtId="1" fontId="0" fillId="0" borderId="0" xfId="0" applyNumberFormat="1"/>
    <xf numFmtId="0" fontId="23" fillId="0" borderId="0" xfId="0" applyFont="1"/>
  </cellXfs>
  <cellStyles count="2">
    <cellStyle name="Normal" xfId="0" builtinId="0"/>
    <cellStyle name="Normal 2" xfId="1" xr:uid="{1A34C86E-C5B0-421D-8117-521FB2B649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200025</xdr:colOff>
          <xdr:row>8</xdr:row>
          <xdr:rowOff>114300</xdr:rowOff>
        </xdr:from>
        <xdr:to>
          <xdr:col>5</xdr:col>
          <xdr:colOff>428625</xdr:colOff>
          <xdr:row>10</xdr:row>
          <xdr:rowOff>142875</xdr:rowOff>
        </xdr:to>
        <xdr:sp macro="" textlink="">
          <xdr:nvSpPr>
            <xdr:cNvPr id="1025" name="CommandButton1" hidden="1">
              <a:extLst>
                <a:ext uri="{63B3BB69-23CF-44E3-9099-C40C66FF867C}">
                  <a14:compatExt spid="_x0000_s1025"/>
                </a:ext>
                <a:ext uri="{FF2B5EF4-FFF2-40B4-BE49-F238E27FC236}">
                  <a16:creationId xmlns:a16="http://schemas.microsoft.com/office/drawing/2014/main" id="{19B3564F-A239-4545-BA30-EA12E5DF49A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13</xdr:row>
          <xdr:rowOff>152400</xdr:rowOff>
        </xdr:from>
        <xdr:to>
          <xdr:col>3</xdr:col>
          <xdr:colOff>571500</xdr:colOff>
          <xdr:row>17</xdr:row>
          <xdr:rowOff>133350</xdr:rowOff>
        </xdr:to>
        <xdr:sp macro="" textlink="">
          <xdr:nvSpPr>
            <xdr:cNvPr id="2049" name="Group Box 1" hidden="1">
              <a:extLst>
                <a:ext uri="{63B3BB69-23CF-44E3-9099-C40C66FF867C}">
                  <a14:compatExt spid="_x0000_s2049"/>
                </a:ext>
                <a:ext uri="{FF2B5EF4-FFF2-40B4-BE49-F238E27FC236}">
                  <a16:creationId xmlns:a16="http://schemas.microsoft.com/office/drawing/2014/main" id="{8BD9C23B-5706-4C31-9DB1-7443271F1EB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Productivity indices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13</xdr:row>
          <xdr:rowOff>152400</xdr:rowOff>
        </xdr:from>
        <xdr:to>
          <xdr:col>5</xdr:col>
          <xdr:colOff>219075</xdr:colOff>
          <xdr:row>17</xdr:row>
          <xdr:rowOff>171450</xdr:rowOff>
        </xdr:to>
        <xdr:sp macro="" textlink="">
          <xdr:nvSpPr>
            <xdr:cNvPr id="2050" name="Group Box 2" hidden="1">
              <a:extLst>
                <a:ext uri="{63B3BB69-23CF-44E3-9099-C40C66FF867C}">
                  <a14:compatExt spid="_x0000_s2050"/>
                </a:ext>
                <a:ext uri="{FF2B5EF4-FFF2-40B4-BE49-F238E27FC236}">
                  <a16:creationId xmlns:a16="http://schemas.microsoft.com/office/drawing/2014/main" id="{448479E6-6330-43CB-A20D-6D2397FC963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Diameter distribution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933450</xdr:colOff>
          <xdr:row>21</xdr:row>
          <xdr:rowOff>0</xdr:rowOff>
        </xdr:from>
        <xdr:to>
          <xdr:col>4</xdr:col>
          <xdr:colOff>123825</xdr:colOff>
          <xdr:row>21</xdr:row>
          <xdr:rowOff>190500</xdr:rowOff>
        </xdr:to>
        <xdr:sp macro="" textlink="">
          <xdr:nvSpPr>
            <xdr:cNvPr id="2051" name="Group Box 3" hidden="1">
              <a:extLst>
                <a:ext uri="{63B3BB69-23CF-44E3-9099-C40C66FF867C}">
                  <a14:compatExt spid="_x0000_s2051"/>
                </a:ext>
                <a:ext uri="{FF2B5EF4-FFF2-40B4-BE49-F238E27FC236}">
                  <a16:creationId xmlns:a16="http://schemas.microsoft.com/office/drawing/2014/main" id="{83D0981F-2611-4C01-9D35-840CDFE9C61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1381125</xdr:colOff>
          <xdr:row>22</xdr:row>
          <xdr:rowOff>0</xdr:rowOff>
        </xdr:from>
        <xdr:to>
          <xdr:col>4</xdr:col>
          <xdr:colOff>123825</xdr:colOff>
          <xdr:row>22</xdr:row>
          <xdr:rowOff>209550</xdr:rowOff>
        </xdr:to>
        <xdr:sp macro="" textlink="">
          <xdr:nvSpPr>
            <xdr:cNvPr id="2052" name="Group Box 4" hidden="1">
              <a:extLst>
                <a:ext uri="{63B3BB69-23CF-44E3-9099-C40C66FF867C}">
                  <a14:compatExt spid="_x0000_s2052"/>
                </a:ext>
                <a:ext uri="{FF2B5EF4-FFF2-40B4-BE49-F238E27FC236}">
                  <a16:creationId xmlns:a16="http://schemas.microsoft.com/office/drawing/2014/main" id="{7DD4BBD5-05D4-41FF-964D-F581EA49999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47625</xdr:rowOff>
        </xdr:from>
        <xdr:to>
          <xdr:col>4</xdr:col>
          <xdr:colOff>781050</xdr:colOff>
          <xdr:row>10</xdr:row>
          <xdr:rowOff>85725</xdr:rowOff>
        </xdr:to>
        <xdr:sp macro="" textlink="">
          <xdr:nvSpPr>
            <xdr:cNvPr id="2053" name="Group Box 5" hidden="1">
              <a:extLst>
                <a:ext uri="{63B3BB69-23CF-44E3-9099-C40C66FF867C}">
                  <a14:compatExt spid="_x0000_s2053"/>
                </a:ext>
                <a:ext uri="{FF2B5EF4-FFF2-40B4-BE49-F238E27FC236}">
                  <a16:creationId xmlns:a16="http://schemas.microsoft.com/office/drawing/2014/main" id="{09FF3378-9D97-471A-986E-D478452FE35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Group Box 48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xdr:row>
          <xdr:rowOff>161925</xdr:rowOff>
        </xdr:from>
        <xdr:to>
          <xdr:col>5</xdr:col>
          <xdr:colOff>571500</xdr:colOff>
          <xdr:row>10</xdr:row>
          <xdr:rowOff>57150</xdr:rowOff>
        </xdr:to>
        <xdr:sp macro="" textlink="">
          <xdr:nvSpPr>
            <xdr:cNvPr id="2054" name="Group Box 6" hidden="1">
              <a:extLst>
                <a:ext uri="{63B3BB69-23CF-44E3-9099-C40C66FF867C}">
                  <a14:compatExt spid="_x0000_s2054"/>
                </a:ext>
                <a:ext uri="{FF2B5EF4-FFF2-40B4-BE49-F238E27FC236}">
                  <a16:creationId xmlns:a16="http://schemas.microsoft.com/office/drawing/2014/main" id="{7E181DE1-1837-4E17-9255-92668BBF27E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Group Box 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533400</xdr:colOff>
          <xdr:row>7</xdr:row>
          <xdr:rowOff>85725</xdr:rowOff>
        </xdr:from>
        <xdr:to>
          <xdr:col>7</xdr:col>
          <xdr:colOff>66675</xdr:colOff>
          <xdr:row>11</xdr:row>
          <xdr:rowOff>0</xdr:rowOff>
        </xdr:to>
        <xdr:sp macro="" textlink="">
          <xdr:nvSpPr>
            <xdr:cNvPr id="2055" name="Group Box 7" hidden="1">
              <a:extLst>
                <a:ext uri="{63B3BB69-23CF-44E3-9099-C40C66FF867C}">
                  <a14:compatExt spid="_x0000_s2055"/>
                </a:ext>
                <a:ext uri="{FF2B5EF4-FFF2-40B4-BE49-F238E27FC236}">
                  <a16:creationId xmlns:a16="http://schemas.microsoft.com/office/drawing/2014/main" id="{5DE9EC66-1B55-4CF3-837F-A97DB33DC81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Group Box 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533400</xdr:colOff>
          <xdr:row>7</xdr:row>
          <xdr:rowOff>85725</xdr:rowOff>
        </xdr:from>
        <xdr:to>
          <xdr:col>8</xdr:col>
          <xdr:colOff>66675</xdr:colOff>
          <xdr:row>11</xdr:row>
          <xdr:rowOff>0</xdr:rowOff>
        </xdr:to>
        <xdr:sp macro="" textlink="">
          <xdr:nvSpPr>
            <xdr:cNvPr id="2056" name="Group Box 8" hidden="1">
              <a:extLst>
                <a:ext uri="{63B3BB69-23CF-44E3-9099-C40C66FF867C}">
                  <a14:compatExt spid="_x0000_s2056"/>
                </a:ext>
                <a:ext uri="{FF2B5EF4-FFF2-40B4-BE49-F238E27FC236}">
                  <a16:creationId xmlns:a16="http://schemas.microsoft.com/office/drawing/2014/main" id="{4CEA1F66-942F-4D2C-9DC7-4A823AC6A93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Group Box 55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533400</xdr:colOff>
          <xdr:row>7</xdr:row>
          <xdr:rowOff>85725</xdr:rowOff>
        </xdr:from>
        <xdr:to>
          <xdr:col>8</xdr:col>
          <xdr:colOff>66675</xdr:colOff>
          <xdr:row>11</xdr:row>
          <xdr:rowOff>0</xdr:rowOff>
        </xdr:to>
        <xdr:sp macro="" textlink="">
          <xdr:nvSpPr>
            <xdr:cNvPr id="2057" name="Group Box 9" hidden="1">
              <a:extLst>
                <a:ext uri="{63B3BB69-23CF-44E3-9099-C40C66FF867C}">
                  <a14:compatExt spid="_x0000_s2057"/>
                </a:ext>
                <a:ext uri="{FF2B5EF4-FFF2-40B4-BE49-F238E27FC236}">
                  <a16:creationId xmlns:a16="http://schemas.microsoft.com/office/drawing/2014/main" id="{98275B94-88D6-4905-8BED-529B8F1A826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NZ" sz="800" b="0" i="0" u="none" strike="noStrike" baseline="0">
                  <a:solidFill>
                    <a:srgbClr val="000000"/>
                  </a:solidFill>
                  <a:latin typeface="Segoe UI"/>
                  <a:cs typeface="Segoe UI"/>
                </a:rPr>
                <a:t>Group Box 55</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R\C%20Predictor\Multi-Species-Carbon-Calculator-Version-1.0ul.xlsm" TargetMode="External"/><Relationship Id="rId1" Type="http://schemas.openxmlformats.org/officeDocument/2006/relationships/externalLinkPath" Target="Multi-Species-Carbon-Calculator-Version-1.0ul.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R\C%20Predictor\input.xlsx" TargetMode="External"/><Relationship Id="rId1" Type="http://schemas.openxmlformats.org/officeDocument/2006/relationships/externalLinkPath" Target="in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 model"/>
      <sheetName val="Inputs"/>
      <sheetName val="300 Index"/>
      <sheetName val="Lists"/>
      <sheetName val="Starting tree list"/>
      <sheetName val="Harvest summary"/>
      <sheetName val="Felled stems"/>
      <sheetName val="Harvested logs"/>
      <sheetName val="C Change"/>
      <sheetName val="Batch runs"/>
      <sheetName val="LP1OUT"/>
      <sheetName val="LP2OUT"/>
      <sheetName val="INPUT"/>
      <sheetName val="Nitrogen"/>
      <sheetName val="Phosphorus"/>
    </sheetNames>
    <sheetDataSet>
      <sheetData sheetId="0">
        <row r="2">
          <cell r="E2" t="str">
            <v>Radiata pine</v>
          </cell>
        </row>
        <row r="3">
          <cell r="E3">
            <v>35.587950195312501</v>
          </cell>
        </row>
        <row r="4">
          <cell r="E4">
            <v>19.946746826171875</v>
          </cell>
        </row>
        <row r="25">
          <cell r="E25">
            <v>21.5833333333333</v>
          </cell>
        </row>
        <row r="26">
          <cell r="E26">
            <v>300</v>
          </cell>
        </row>
        <row r="27">
          <cell r="E27">
            <v>21.324117539741405</v>
          </cell>
        </row>
        <row r="28">
          <cell r="E28">
            <v>52.11891740344781</v>
          </cell>
        </row>
        <row r="38">
          <cell r="E38">
            <v>38.458443634157099</v>
          </cell>
        </row>
        <row r="39">
          <cell r="E39">
            <v>287.968332326</v>
          </cell>
        </row>
        <row r="40">
          <cell r="E40">
            <v>7.8669812257952865</v>
          </cell>
        </row>
        <row r="41">
          <cell r="E41">
            <v>0.67173956123907264</v>
          </cell>
        </row>
        <row r="42">
          <cell r="E42">
            <v>12.406562990499999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model"/>
      <sheetName val="Inputs"/>
      <sheetName val="300 Index"/>
      <sheetName val="parameters"/>
      <sheetName val="Lists"/>
      <sheetName val="Starting tree list"/>
      <sheetName val="Harvest summary"/>
      <sheetName val="Felled stems"/>
      <sheetName val="Harvested logs"/>
      <sheetName val="C Change"/>
      <sheetName val="Batch runs"/>
      <sheetName val="LP1OUT"/>
      <sheetName val="LP2OUT"/>
      <sheetName val="INPUT"/>
      <sheetName val="Nitrogen"/>
      <sheetName val="Phosphorus"/>
    </sheetNames>
    <sheetDataSet>
      <sheetData sheetId="0">
        <row r="5">
          <cell r="E5">
            <v>1200</v>
          </cell>
        </row>
        <row r="6">
          <cell r="E6">
            <v>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D859-8202-4911-B526-502300961DE8}">
  <sheetPr codeName="Sheet41">
    <tabColor rgb="FFFFFF00"/>
  </sheetPr>
  <dimension ref="A1:AS83"/>
  <sheetViews>
    <sheetView zoomScale="80" workbookViewId="0">
      <selection activeCell="C3" sqref="C3"/>
    </sheetView>
  </sheetViews>
  <sheetFormatPr defaultColWidth="9.28515625" defaultRowHeight="12.75" x14ac:dyDescent="0.2"/>
  <cols>
    <col min="1" max="1" width="3" style="2" customWidth="1"/>
    <col min="2" max="2" width="20.85546875" style="2" bestFit="1" customWidth="1"/>
    <col min="3" max="3" width="11.140625" style="2" customWidth="1"/>
    <col min="4" max="4" width="8.28515625" style="2" customWidth="1"/>
    <col min="5" max="5" width="8.7109375" style="2" customWidth="1"/>
    <col min="6" max="6" width="9.28515625" style="2" customWidth="1"/>
    <col min="7" max="7" width="5.7109375" style="2" customWidth="1"/>
    <col min="8" max="8" width="10" style="5" customWidth="1"/>
    <col min="9" max="9" width="7.85546875" style="2" customWidth="1"/>
    <col min="10" max="11" width="10.140625" style="2" customWidth="1"/>
    <col min="12" max="12" width="9" style="2" customWidth="1"/>
    <col min="13" max="13" width="8.5703125" style="2" customWidth="1"/>
    <col min="14" max="15" width="7.85546875" style="2" customWidth="1"/>
    <col min="16" max="18" width="8" style="2" customWidth="1"/>
    <col min="19" max="19" width="10.5703125" style="2" customWidth="1"/>
    <col min="20" max="22" width="8" style="2" customWidth="1"/>
    <col min="23" max="16384" width="9.28515625" style="2"/>
  </cols>
  <sheetData>
    <row r="1" spans="1:45" ht="15.75" customHeight="1" x14ac:dyDescent="0.25">
      <c r="A1" s="1" t="s">
        <v>0</v>
      </c>
      <c r="G1" s="3"/>
      <c r="H1" s="4" t="s">
        <v>1</v>
      </c>
      <c r="I1" s="3"/>
      <c r="J1" s="5"/>
      <c r="K1" s="5"/>
      <c r="L1" s="5"/>
      <c r="M1" s="5"/>
      <c r="N1" s="3"/>
      <c r="O1" s="3"/>
      <c r="P1" s="5"/>
      <c r="Q1" s="3"/>
      <c r="S1" s="6" t="s">
        <v>2</v>
      </c>
      <c r="V1" s="2">
        <v>22</v>
      </c>
      <c r="W1" s="2">
        <v>23</v>
      </c>
      <c r="X1" s="2">
        <v>24</v>
      </c>
      <c r="Y1" s="2">
        <v>25</v>
      </c>
      <c r="Z1" s="2">
        <v>26</v>
      </c>
      <c r="AA1" s="2">
        <v>27</v>
      </c>
      <c r="AB1" s="2">
        <v>28</v>
      </c>
      <c r="AC1" s="2">
        <v>29</v>
      </c>
      <c r="AD1" s="2">
        <v>30</v>
      </c>
      <c r="AE1" s="2">
        <v>31</v>
      </c>
      <c r="AF1" s="2">
        <v>32</v>
      </c>
      <c r="AG1" s="2">
        <v>33</v>
      </c>
      <c r="AH1" s="2">
        <v>34</v>
      </c>
      <c r="AI1" s="2">
        <v>35</v>
      </c>
      <c r="AJ1" s="2">
        <v>36</v>
      </c>
      <c r="AK1" s="2">
        <v>37</v>
      </c>
      <c r="AL1" s="2">
        <v>38</v>
      </c>
      <c r="AM1" s="2">
        <v>39</v>
      </c>
      <c r="AN1" s="2">
        <v>40</v>
      </c>
      <c r="AO1" s="2">
        <v>41</v>
      </c>
      <c r="AP1" s="2">
        <v>42</v>
      </c>
      <c r="AQ1" s="2">
        <v>43</v>
      </c>
      <c r="AR1" s="2">
        <v>44</v>
      </c>
    </row>
    <row r="2" spans="1:45" x14ac:dyDescent="0.2">
      <c r="A2" s="7" t="s">
        <v>3</v>
      </c>
      <c r="E2" s="7" t="s">
        <v>4</v>
      </c>
      <c r="G2" s="3"/>
      <c r="H2" s="8" t="s">
        <v>5</v>
      </c>
      <c r="I2" s="8"/>
      <c r="J2" s="8" t="s">
        <v>6</v>
      </c>
      <c r="L2" s="8" t="s">
        <v>7</v>
      </c>
      <c r="M2" s="8"/>
      <c r="N2" s="8" t="s">
        <v>8</v>
      </c>
      <c r="P2" s="8" t="s">
        <v>9</v>
      </c>
      <c r="R2" s="8" t="s">
        <v>10</v>
      </c>
      <c r="S2" s="7" t="s">
        <v>11</v>
      </c>
      <c r="V2" s="7" t="s">
        <v>12</v>
      </c>
      <c r="Y2" s="7" t="s">
        <v>13</v>
      </c>
      <c r="AB2" s="7" t="s">
        <v>14</v>
      </c>
      <c r="AE2" s="8" t="s">
        <v>15</v>
      </c>
      <c r="AK2" s="8" t="s">
        <v>16</v>
      </c>
      <c r="AL2" s="8" t="s">
        <v>17</v>
      </c>
      <c r="AM2" s="8" t="s">
        <v>7</v>
      </c>
      <c r="AN2" s="8" t="s">
        <v>18</v>
      </c>
      <c r="AO2" s="8" t="s">
        <v>18</v>
      </c>
      <c r="AP2" s="7" t="s">
        <v>18</v>
      </c>
      <c r="AQ2" s="7" t="s">
        <v>15</v>
      </c>
      <c r="AR2" s="7" t="s">
        <v>18</v>
      </c>
      <c r="AS2" s="7"/>
    </row>
    <row r="3" spans="1:45" x14ac:dyDescent="0.2">
      <c r="B3" s="7" t="s">
        <v>19</v>
      </c>
      <c r="C3" s="9"/>
      <c r="E3" s="7" t="s">
        <v>20</v>
      </c>
      <c r="F3" s="10">
        <v>38.458443634157099</v>
      </c>
      <c r="G3" s="8" t="s">
        <v>21</v>
      </c>
      <c r="H3" s="8" t="s">
        <v>22</v>
      </c>
      <c r="I3" s="8" t="s">
        <v>23</v>
      </c>
      <c r="K3" s="8" t="s">
        <v>24</v>
      </c>
      <c r="L3" s="8" t="s">
        <v>22</v>
      </c>
      <c r="M3" s="8" t="s">
        <v>23</v>
      </c>
      <c r="N3" s="8" t="s">
        <v>22</v>
      </c>
      <c r="O3" s="8" t="s">
        <v>23</v>
      </c>
      <c r="P3" s="8" t="s">
        <v>22</v>
      </c>
      <c r="Q3" s="8" t="s">
        <v>23</v>
      </c>
      <c r="R3" s="8" t="s">
        <v>25</v>
      </c>
      <c r="S3" s="8" t="s">
        <v>26</v>
      </c>
      <c r="T3" s="8" t="s">
        <v>27</v>
      </c>
      <c r="U3" s="8" t="s">
        <v>28</v>
      </c>
      <c r="V3" s="8" t="s">
        <v>26</v>
      </c>
      <c r="W3" s="8" t="s">
        <v>27</v>
      </c>
      <c r="X3" s="8" t="s">
        <v>28</v>
      </c>
      <c r="Y3" s="8" t="s">
        <v>26</v>
      </c>
      <c r="Z3" s="8" t="s">
        <v>27</v>
      </c>
      <c r="AA3" s="8" t="s">
        <v>28</v>
      </c>
      <c r="AB3" s="8" t="s">
        <v>26</v>
      </c>
      <c r="AC3" s="8" t="s">
        <v>27</v>
      </c>
      <c r="AD3" s="8" t="s">
        <v>28</v>
      </c>
      <c r="AK3" s="8" t="s">
        <v>29</v>
      </c>
      <c r="AL3" s="8" t="s">
        <v>30</v>
      </c>
      <c r="AM3" s="8" t="s">
        <v>31</v>
      </c>
      <c r="AN3" s="8" t="s">
        <v>32</v>
      </c>
      <c r="AO3" s="8" t="s">
        <v>33</v>
      </c>
      <c r="AP3" s="7" t="s">
        <v>34</v>
      </c>
      <c r="AQ3" s="7"/>
      <c r="AR3" s="7" t="s">
        <v>35</v>
      </c>
      <c r="AS3" s="7"/>
    </row>
    <row r="4" spans="1:45" x14ac:dyDescent="0.2">
      <c r="B4" s="11" t="s">
        <v>36</v>
      </c>
      <c r="C4" s="9">
        <v>19.946746826171875</v>
      </c>
      <c r="E4" s="7" t="s">
        <v>37</v>
      </c>
      <c r="F4" s="10">
        <v>287.968332326</v>
      </c>
      <c r="G4" s="8" t="s">
        <v>38</v>
      </c>
      <c r="H4" s="8" t="s">
        <v>39</v>
      </c>
      <c r="I4" s="8" t="s">
        <v>39</v>
      </c>
      <c r="J4" s="8" t="s">
        <v>40</v>
      </c>
      <c r="K4" s="8" t="s">
        <v>40</v>
      </c>
      <c r="L4" s="8" t="s">
        <v>41</v>
      </c>
      <c r="M4" s="8" t="s">
        <v>41</v>
      </c>
      <c r="N4" s="8" t="s">
        <v>42</v>
      </c>
      <c r="O4" s="8" t="s">
        <v>42</v>
      </c>
      <c r="P4" s="8" t="s">
        <v>43</v>
      </c>
      <c r="Q4" s="8"/>
      <c r="R4" s="8" t="s">
        <v>40</v>
      </c>
      <c r="S4" s="8" t="s">
        <v>39</v>
      </c>
      <c r="T4" s="8" t="s">
        <v>43</v>
      </c>
      <c r="U4" s="8" t="s">
        <v>41</v>
      </c>
      <c r="V4" s="8" t="s">
        <v>39</v>
      </c>
      <c r="W4" s="8" t="s">
        <v>43</v>
      </c>
      <c r="X4" s="8" t="s">
        <v>41</v>
      </c>
      <c r="Y4" s="8" t="s">
        <v>39</v>
      </c>
      <c r="Z4" s="8" t="s">
        <v>43</v>
      </c>
      <c r="AA4" s="8" t="s">
        <v>41</v>
      </c>
      <c r="AB4" s="8" t="s">
        <v>39</v>
      </c>
      <c r="AC4" s="8" t="s">
        <v>43</v>
      </c>
      <c r="AD4" s="8" t="s">
        <v>41</v>
      </c>
      <c r="AE4" s="8" t="s">
        <v>43</v>
      </c>
      <c r="AK4" s="8" t="s">
        <v>39</v>
      </c>
      <c r="AL4" s="8" t="s">
        <v>40</v>
      </c>
      <c r="AM4" s="8" t="s">
        <v>41</v>
      </c>
      <c r="AN4" s="8" t="s">
        <v>44</v>
      </c>
      <c r="AO4" s="8" t="s">
        <v>44</v>
      </c>
      <c r="AP4" s="8" t="s">
        <v>44</v>
      </c>
      <c r="AQ4" s="7" t="s">
        <v>43</v>
      </c>
      <c r="AR4" s="8" t="s">
        <v>44</v>
      </c>
      <c r="AS4" s="8"/>
    </row>
    <row r="5" spans="1:45" x14ac:dyDescent="0.2">
      <c r="B5" s="11"/>
      <c r="C5" s="12"/>
      <c r="G5" s="3">
        <v>1</v>
      </c>
      <c r="H5" s="13">
        <v>1200</v>
      </c>
      <c r="I5" s="14"/>
      <c r="J5" s="5">
        <v>0.54507821155405445</v>
      </c>
      <c r="K5" s="5"/>
      <c r="L5" s="5">
        <v>0</v>
      </c>
      <c r="M5" s="5"/>
      <c r="N5" s="5">
        <v>0</v>
      </c>
      <c r="O5" s="5"/>
      <c r="P5" s="5">
        <v>0</v>
      </c>
      <c r="Q5" s="5"/>
      <c r="R5" s="5">
        <v>0.50739636584901993</v>
      </c>
      <c r="S5" s="5">
        <v>1200</v>
      </c>
      <c r="T5" s="5">
        <v>0</v>
      </c>
      <c r="U5" s="5">
        <v>0</v>
      </c>
      <c r="V5" s="5"/>
      <c r="AQ5" s="2">
        <v>44.894348317920105</v>
      </c>
    </row>
    <row r="6" spans="1:45" x14ac:dyDescent="0.2">
      <c r="A6" s="7" t="s">
        <v>45</v>
      </c>
      <c r="E6" s="7"/>
      <c r="F6" s="7"/>
      <c r="G6" s="3">
        <v>2</v>
      </c>
      <c r="H6" s="13">
        <v>1200</v>
      </c>
      <c r="I6" s="13"/>
      <c r="J6" s="5">
        <v>1.1452932791261423</v>
      </c>
      <c r="K6" s="5"/>
      <c r="L6" s="5">
        <v>0</v>
      </c>
      <c r="M6" s="5"/>
      <c r="N6" s="5">
        <v>0</v>
      </c>
      <c r="O6" s="5"/>
      <c r="P6" s="5">
        <v>0</v>
      </c>
      <c r="Q6" s="5"/>
      <c r="R6" s="5">
        <v>1.0661179172858635</v>
      </c>
      <c r="S6" s="5">
        <v>1200</v>
      </c>
      <c r="T6" s="5">
        <v>0</v>
      </c>
      <c r="U6" s="5">
        <v>0</v>
      </c>
      <c r="V6" s="5"/>
      <c r="W6" s="5"/>
      <c r="X6" s="5"/>
      <c r="Y6" s="5"/>
      <c r="Z6" s="5"/>
      <c r="AA6" s="5"/>
      <c r="AB6" s="5"/>
      <c r="AC6" s="5"/>
      <c r="AD6" s="5"/>
      <c r="AQ6" s="2">
        <v>44.809076958113508</v>
      </c>
    </row>
    <row r="7" spans="1:45" x14ac:dyDescent="0.2">
      <c r="B7" s="7" t="s">
        <v>21</v>
      </c>
      <c r="C7" s="15">
        <v>21.5833333333333</v>
      </c>
      <c r="G7" s="3">
        <v>3</v>
      </c>
      <c r="H7" s="13">
        <v>1200</v>
      </c>
      <c r="I7" s="13"/>
      <c r="J7" s="5">
        <v>1.9323488458973288</v>
      </c>
      <c r="K7" s="5"/>
      <c r="L7" s="5">
        <v>0.92505609104457787</v>
      </c>
      <c r="M7" s="5"/>
      <c r="N7" s="5">
        <v>0.21037501468362899</v>
      </c>
      <c r="O7" s="5"/>
      <c r="P7" s="5">
        <v>1.4938970114331278</v>
      </c>
      <c r="Q7" s="5"/>
      <c r="R7" s="5">
        <v>1.7987634823367384</v>
      </c>
      <c r="S7" s="5">
        <v>1200</v>
      </c>
      <c r="T7" s="5">
        <v>1.4938970114331278</v>
      </c>
      <c r="U7" s="5">
        <v>0.92505609104457787</v>
      </c>
      <c r="V7" s="5"/>
      <c r="W7" s="5"/>
      <c r="X7" s="5"/>
      <c r="Y7" s="5"/>
      <c r="Z7" s="5"/>
      <c r="AA7" s="5"/>
      <c r="AB7" s="5"/>
      <c r="AC7" s="5"/>
      <c r="AD7" s="5"/>
      <c r="AQ7" s="2">
        <v>44.726150746391596</v>
      </c>
    </row>
    <row r="8" spans="1:45" x14ac:dyDescent="0.2">
      <c r="B8" s="7" t="s">
        <v>46</v>
      </c>
      <c r="C8" s="10">
        <v>300</v>
      </c>
      <c r="E8" s="7" t="s">
        <v>47</v>
      </c>
      <c r="F8" s="10">
        <v>1</v>
      </c>
      <c r="G8" s="3"/>
      <c r="H8" s="13"/>
      <c r="I8" s="13"/>
      <c r="J8" s="5"/>
      <c r="K8" s="5"/>
      <c r="L8" s="5"/>
      <c r="M8" s="5"/>
      <c r="N8" s="5"/>
      <c r="O8" s="5"/>
      <c r="P8" s="5"/>
      <c r="Q8" s="5"/>
      <c r="R8" s="5"/>
      <c r="S8" s="5"/>
      <c r="T8" s="5"/>
      <c r="U8" s="5"/>
      <c r="V8" s="5"/>
      <c r="W8" s="5"/>
      <c r="X8" s="5"/>
      <c r="Y8" s="5"/>
      <c r="Z8" s="5"/>
      <c r="AA8" s="5"/>
      <c r="AB8" s="5"/>
      <c r="AC8" s="5"/>
      <c r="AD8" s="5"/>
    </row>
    <row r="9" spans="1:45" x14ac:dyDescent="0.2">
      <c r="B9" s="7" t="s">
        <v>9</v>
      </c>
      <c r="C9" s="10"/>
      <c r="G9" s="3"/>
      <c r="H9" s="13"/>
      <c r="I9" s="13"/>
      <c r="J9" s="5"/>
      <c r="K9" s="5"/>
      <c r="L9" s="5"/>
      <c r="M9" s="5"/>
      <c r="N9" s="5"/>
      <c r="O9" s="5"/>
      <c r="P9" s="5"/>
      <c r="Q9" s="5"/>
      <c r="R9" s="5"/>
      <c r="S9" s="5"/>
      <c r="T9" s="5"/>
      <c r="U9" s="5"/>
      <c r="V9" s="5"/>
      <c r="W9" s="5"/>
      <c r="X9" s="5"/>
      <c r="Y9" s="5"/>
      <c r="Z9" s="5"/>
      <c r="AA9" s="5"/>
      <c r="AB9" s="5"/>
      <c r="AC9" s="5"/>
      <c r="AD9" s="5"/>
    </row>
    <row r="10" spans="1:45" x14ac:dyDescent="0.2">
      <c r="B10" s="7" t="s">
        <v>8</v>
      </c>
      <c r="C10" s="10">
        <v>52.118917403447817</v>
      </c>
      <c r="G10" s="3"/>
      <c r="H10" s="13"/>
      <c r="I10" s="13"/>
      <c r="J10" s="5"/>
      <c r="K10" s="5"/>
      <c r="L10" s="5"/>
      <c r="M10" s="5"/>
      <c r="N10" s="5"/>
      <c r="O10" s="5"/>
      <c r="P10" s="5"/>
      <c r="Q10" s="5"/>
      <c r="R10" s="5"/>
      <c r="S10" s="5"/>
      <c r="T10" s="5"/>
      <c r="U10" s="5"/>
      <c r="V10" s="5"/>
      <c r="W10" s="5"/>
      <c r="X10" s="5"/>
      <c r="Y10" s="5"/>
      <c r="Z10" s="5"/>
      <c r="AA10" s="5"/>
      <c r="AB10" s="5"/>
      <c r="AC10" s="5"/>
      <c r="AD10" s="5"/>
    </row>
    <row r="11" spans="1:45" x14ac:dyDescent="0.2">
      <c r="B11" s="7" t="s">
        <v>48</v>
      </c>
      <c r="C11" s="10"/>
      <c r="G11" s="3"/>
      <c r="H11" s="13"/>
      <c r="I11" s="13"/>
      <c r="J11" s="5"/>
      <c r="K11" s="5"/>
      <c r="L11" s="5"/>
      <c r="M11" s="5"/>
      <c r="N11" s="5"/>
      <c r="O11" s="5"/>
      <c r="P11" s="5"/>
      <c r="Q11" s="5"/>
      <c r="R11" s="5"/>
      <c r="S11" s="5"/>
      <c r="T11" s="5"/>
      <c r="U11" s="5"/>
      <c r="V11" s="5"/>
      <c r="W11" s="5"/>
      <c r="X11" s="5"/>
      <c r="Y11" s="5"/>
      <c r="Z11" s="5"/>
      <c r="AA11" s="5"/>
      <c r="AB11" s="5"/>
      <c r="AC11" s="5"/>
      <c r="AD11" s="5"/>
    </row>
    <row r="12" spans="1:45" x14ac:dyDescent="0.2">
      <c r="B12" s="7"/>
      <c r="G12" s="3"/>
      <c r="H12" s="13"/>
      <c r="I12" s="13"/>
      <c r="J12" s="5"/>
      <c r="K12" s="5"/>
      <c r="L12" s="5"/>
      <c r="M12" s="5"/>
      <c r="N12" s="5"/>
      <c r="O12" s="5"/>
      <c r="P12" s="5"/>
      <c r="Q12" s="5"/>
      <c r="R12" s="5"/>
      <c r="S12" s="5"/>
      <c r="T12" s="5"/>
      <c r="U12" s="5"/>
      <c r="V12" s="5"/>
      <c r="W12" s="5"/>
      <c r="X12" s="5"/>
      <c r="Y12" s="5"/>
      <c r="Z12" s="5"/>
      <c r="AA12" s="5"/>
      <c r="AB12" s="5"/>
      <c r="AC12" s="5"/>
      <c r="AD12" s="5"/>
    </row>
    <row r="13" spans="1:45" x14ac:dyDescent="0.2">
      <c r="A13" s="7" t="s">
        <v>49</v>
      </c>
      <c r="E13" s="7"/>
      <c r="F13" s="7"/>
      <c r="G13" s="3"/>
      <c r="H13" s="13"/>
      <c r="I13" s="13"/>
      <c r="J13" s="5"/>
      <c r="K13" s="5"/>
      <c r="L13" s="5"/>
      <c r="M13" s="5"/>
      <c r="N13" s="5"/>
      <c r="O13" s="5"/>
      <c r="P13" s="5"/>
      <c r="Q13" s="5"/>
      <c r="R13" s="5"/>
      <c r="S13" s="5"/>
      <c r="T13" s="5"/>
      <c r="U13" s="5"/>
      <c r="V13" s="5"/>
      <c r="W13" s="5"/>
      <c r="X13" s="5"/>
      <c r="Y13" s="5"/>
      <c r="Z13" s="5"/>
      <c r="AA13" s="5"/>
      <c r="AB13" s="5"/>
      <c r="AC13" s="5"/>
      <c r="AD13" s="5"/>
    </row>
    <row r="14" spans="1:45" x14ac:dyDescent="0.2">
      <c r="B14" s="7" t="s">
        <v>21</v>
      </c>
      <c r="C14" s="10">
        <v>21.5833333333333</v>
      </c>
      <c r="G14" s="3"/>
      <c r="H14" s="13"/>
      <c r="I14" s="13"/>
      <c r="J14" s="5"/>
      <c r="K14" s="5"/>
      <c r="L14" s="5"/>
      <c r="M14" s="5"/>
      <c r="N14" s="5"/>
      <c r="O14" s="5"/>
      <c r="P14" s="5"/>
      <c r="Q14" s="5"/>
      <c r="R14" s="5"/>
      <c r="S14" s="5"/>
      <c r="T14" s="5"/>
      <c r="U14" s="5"/>
      <c r="V14" s="5"/>
      <c r="W14" s="5"/>
      <c r="X14" s="5"/>
      <c r="Y14" s="5"/>
      <c r="Z14" s="5"/>
      <c r="AA14" s="5"/>
      <c r="AB14" s="5"/>
      <c r="AC14" s="5"/>
      <c r="AD14" s="5"/>
    </row>
    <row r="15" spans="1:45" x14ac:dyDescent="0.2">
      <c r="B15" s="7" t="s">
        <v>6</v>
      </c>
      <c r="C15" s="10">
        <v>21.324117539741405</v>
      </c>
      <c r="G15" s="3"/>
      <c r="H15" s="13"/>
      <c r="I15" s="13"/>
      <c r="J15" s="5"/>
      <c r="K15" s="5"/>
      <c r="L15" s="5"/>
      <c r="M15" s="5"/>
      <c r="N15" s="5"/>
      <c r="O15" s="5"/>
      <c r="P15" s="5"/>
      <c r="Q15" s="5"/>
      <c r="R15" s="5"/>
      <c r="S15" s="5"/>
      <c r="T15" s="5"/>
      <c r="U15" s="5"/>
      <c r="V15" s="5"/>
      <c r="W15" s="5"/>
      <c r="X15" s="5"/>
      <c r="Y15" s="5"/>
      <c r="Z15" s="5"/>
      <c r="AA15" s="5"/>
      <c r="AB15" s="5"/>
      <c r="AC15" s="5"/>
      <c r="AD15" s="5"/>
    </row>
    <row r="16" spans="1:45" x14ac:dyDescent="0.2">
      <c r="B16" s="7"/>
      <c r="G16" s="3"/>
      <c r="H16" s="13"/>
      <c r="I16" s="13"/>
      <c r="J16" s="5"/>
      <c r="K16" s="5"/>
      <c r="L16" s="5"/>
      <c r="M16" s="5"/>
      <c r="N16" s="5"/>
      <c r="O16" s="5"/>
      <c r="P16" s="5"/>
      <c r="Q16" s="5"/>
      <c r="R16" s="5"/>
      <c r="S16" s="5"/>
      <c r="T16" s="5"/>
      <c r="U16" s="5"/>
      <c r="V16" s="5"/>
      <c r="W16" s="5"/>
      <c r="X16" s="5"/>
      <c r="Y16" s="5"/>
      <c r="Z16" s="5"/>
      <c r="AA16" s="5"/>
      <c r="AB16" s="5"/>
      <c r="AC16" s="5"/>
      <c r="AD16" s="5"/>
    </row>
    <row r="17" spans="1:30" x14ac:dyDescent="0.2">
      <c r="A17" s="7" t="s">
        <v>50</v>
      </c>
      <c r="E17" s="8" t="s">
        <v>51</v>
      </c>
      <c r="G17" s="3"/>
      <c r="H17" s="13"/>
      <c r="I17" s="13"/>
      <c r="J17" s="5"/>
      <c r="K17" s="5"/>
      <c r="L17" s="5"/>
      <c r="M17" s="5"/>
      <c r="N17" s="5"/>
      <c r="O17" s="5"/>
      <c r="P17" s="5"/>
      <c r="Q17" s="5"/>
      <c r="R17" s="5"/>
      <c r="S17" s="5"/>
      <c r="T17" s="5"/>
      <c r="U17" s="5"/>
      <c r="V17" s="5"/>
      <c r="W17" s="5"/>
      <c r="X17" s="5"/>
      <c r="Y17" s="5"/>
      <c r="Z17" s="5"/>
      <c r="AA17" s="5"/>
      <c r="AB17" s="5"/>
      <c r="AC17" s="5"/>
      <c r="AD17" s="5"/>
    </row>
    <row r="18" spans="1:30" x14ac:dyDescent="0.2">
      <c r="B18" s="7" t="s">
        <v>21</v>
      </c>
      <c r="C18" s="7" t="s">
        <v>22</v>
      </c>
      <c r="D18" s="7" t="s">
        <v>23</v>
      </c>
      <c r="E18" s="8" t="s">
        <v>52</v>
      </c>
      <c r="F18" s="7" t="s">
        <v>53</v>
      </c>
      <c r="G18" s="3"/>
      <c r="H18" s="13"/>
      <c r="I18" s="13"/>
      <c r="J18" s="5"/>
      <c r="K18" s="5"/>
      <c r="L18" s="5"/>
      <c r="M18" s="5"/>
      <c r="N18" s="5"/>
      <c r="O18" s="5"/>
      <c r="P18" s="5"/>
      <c r="Q18" s="5"/>
      <c r="R18" s="5"/>
      <c r="S18" s="5"/>
      <c r="T18" s="5"/>
      <c r="U18" s="5"/>
      <c r="V18" s="5"/>
      <c r="W18" s="5"/>
      <c r="X18" s="5"/>
      <c r="Y18" s="5"/>
      <c r="Z18" s="5"/>
      <c r="AA18" s="5"/>
      <c r="AB18" s="5"/>
      <c r="AC18" s="5"/>
      <c r="AD18" s="5"/>
    </row>
    <row r="19" spans="1:30" x14ac:dyDescent="0.2">
      <c r="B19" s="7">
        <v>0</v>
      </c>
      <c r="C19" s="10">
        <v>1200</v>
      </c>
      <c r="G19" s="3"/>
      <c r="H19" s="13"/>
      <c r="I19" s="13"/>
      <c r="J19" s="5"/>
      <c r="K19" s="5"/>
      <c r="L19" s="5"/>
      <c r="M19" s="5"/>
      <c r="N19" s="5"/>
      <c r="O19" s="5"/>
      <c r="P19" s="5"/>
      <c r="Q19" s="5"/>
      <c r="R19" s="5"/>
      <c r="S19" s="5"/>
      <c r="T19" s="5"/>
      <c r="U19" s="5"/>
      <c r="V19" s="5"/>
      <c r="W19" s="5"/>
      <c r="X19" s="5"/>
      <c r="Y19" s="5"/>
      <c r="Z19" s="5"/>
      <c r="AA19" s="5"/>
      <c r="AB19" s="5"/>
      <c r="AC19" s="5"/>
      <c r="AD19" s="5"/>
    </row>
    <row r="20" spans="1:30" x14ac:dyDescent="0.2">
      <c r="B20" s="10"/>
      <c r="C20" s="16"/>
      <c r="D20" s="16"/>
      <c r="E20" s="10"/>
      <c r="F20" s="10"/>
      <c r="G20" s="3"/>
      <c r="H20" s="13"/>
      <c r="I20" s="13"/>
      <c r="J20" s="5"/>
      <c r="K20" s="5"/>
      <c r="L20" s="5"/>
      <c r="M20" s="5"/>
      <c r="N20" s="5"/>
      <c r="O20" s="5"/>
      <c r="P20" s="5"/>
      <c r="Q20" s="5"/>
      <c r="R20" s="5"/>
      <c r="S20" s="5"/>
      <c r="T20" s="5"/>
      <c r="U20" s="5"/>
      <c r="V20" s="5"/>
      <c r="W20" s="5"/>
      <c r="X20" s="5"/>
      <c r="Y20" s="5"/>
      <c r="Z20" s="5"/>
      <c r="AA20" s="5"/>
      <c r="AB20" s="5"/>
      <c r="AC20" s="5"/>
      <c r="AD20" s="5"/>
    </row>
    <row r="21" spans="1:30" x14ac:dyDescent="0.2">
      <c r="B21" s="10"/>
      <c r="C21" s="16"/>
      <c r="D21" s="16"/>
      <c r="E21" s="10"/>
      <c r="F21" s="10"/>
      <c r="G21" s="3"/>
      <c r="H21" s="13"/>
      <c r="I21" s="13"/>
      <c r="J21" s="5"/>
      <c r="K21" s="5"/>
      <c r="L21" s="5"/>
      <c r="M21" s="5"/>
      <c r="N21" s="5"/>
      <c r="O21" s="5"/>
      <c r="P21" s="5"/>
      <c r="Q21" s="5"/>
      <c r="R21" s="5"/>
      <c r="S21" s="5"/>
      <c r="T21" s="5"/>
      <c r="U21" s="5"/>
      <c r="V21" s="5"/>
      <c r="W21" s="5"/>
      <c r="X21" s="5"/>
      <c r="Y21" s="5"/>
      <c r="Z21" s="5"/>
      <c r="AA21" s="5"/>
      <c r="AB21" s="5"/>
      <c r="AC21" s="5"/>
      <c r="AD21" s="5"/>
    </row>
    <row r="22" spans="1:30" x14ac:dyDescent="0.2">
      <c r="B22" s="10"/>
      <c r="C22" s="16"/>
      <c r="D22" s="16"/>
      <c r="E22" s="10"/>
      <c r="F22" s="10"/>
      <c r="G22" s="3"/>
      <c r="H22" s="13"/>
      <c r="I22" s="13"/>
      <c r="J22" s="5"/>
      <c r="K22" s="5"/>
      <c r="L22" s="5"/>
      <c r="M22" s="5"/>
      <c r="N22" s="5"/>
      <c r="O22" s="5"/>
      <c r="P22" s="5"/>
      <c r="Q22" s="5"/>
      <c r="R22" s="5"/>
      <c r="S22" s="5"/>
      <c r="T22" s="5"/>
      <c r="U22" s="5"/>
      <c r="V22" s="5"/>
      <c r="W22" s="5"/>
      <c r="X22" s="5"/>
      <c r="Y22" s="5"/>
      <c r="Z22" s="5"/>
      <c r="AA22" s="5"/>
      <c r="AB22" s="5"/>
      <c r="AC22" s="5"/>
      <c r="AD22" s="5"/>
    </row>
    <row r="23" spans="1:30" x14ac:dyDescent="0.2">
      <c r="B23" s="10"/>
      <c r="C23" s="16"/>
      <c r="D23" s="16"/>
      <c r="E23" s="10"/>
      <c r="F23" s="10"/>
      <c r="G23" s="3"/>
      <c r="H23" s="13"/>
      <c r="I23" s="13"/>
      <c r="J23" s="5"/>
      <c r="K23" s="5"/>
      <c r="L23" s="5"/>
      <c r="M23" s="5"/>
      <c r="N23" s="5"/>
      <c r="O23" s="5"/>
      <c r="P23" s="5"/>
      <c r="Q23" s="5"/>
      <c r="R23" s="5"/>
      <c r="S23" s="5"/>
      <c r="T23" s="5"/>
      <c r="U23" s="5"/>
      <c r="V23" s="5"/>
      <c r="W23" s="5"/>
      <c r="X23" s="5"/>
      <c r="Y23" s="5"/>
      <c r="Z23" s="5"/>
      <c r="AA23" s="5"/>
      <c r="AB23" s="5"/>
      <c r="AC23" s="5"/>
      <c r="AD23" s="5"/>
    </row>
    <row r="24" spans="1:30" x14ac:dyDescent="0.2">
      <c r="A24" s="7"/>
      <c r="B24" s="10"/>
      <c r="C24" s="16"/>
      <c r="D24" s="16"/>
      <c r="E24" s="10"/>
      <c r="F24" s="10"/>
      <c r="G24" s="3"/>
      <c r="H24" s="13"/>
      <c r="I24" s="13"/>
      <c r="J24" s="5"/>
      <c r="K24" s="5"/>
      <c r="L24" s="5"/>
      <c r="M24" s="5"/>
      <c r="N24" s="5"/>
      <c r="O24" s="5"/>
      <c r="P24" s="5"/>
      <c r="Q24" s="5"/>
      <c r="R24" s="5"/>
      <c r="S24" s="5"/>
      <c r="T24" s="5"/>
      <c r="U24" s="5"/>
      <c r="V24" s="5"/>
      <c r="W24" s="5"/>
      <c r="X24" s="5"/>
      <c r="Y24" s="5"/>
      <c r="Z24" s="5"/>
      <c r="AA24" s="5"/>
      <c r="AB24" s="5"/>
      <c r="AC24" s="5"/>
      <c r="AD24" s="5"/>
    </row>
    <row r="25" spans="1:30" x14ac:dyDescent="0.2">
      <c r="A25" s="7"/>
      <c r="B25" s="10"/>
      <c r="C25" s="16"/>
      <c r="D25" s="16"/>
      <c r="E25" s="10"/>
      <c r="F25" s="10"/>
      <c r="G25" s="3"/>
      <c r="H25" s="13"/>
      <c r="I25" s="13"/>
      <c r="J25" s="5"/>
      <c r="K25" s="5"/>
      <c r="L25" s="5"/>
      <c r="M25" s="5"/>
      <c r="N25" s="5"/>
      <c r="O25" s="5"/>
      <c r="P25" s="5"/>
      <c r="Q25" s="5"/>
      <c r="R25" s="5"/>
      <c r="S25" s="5"/>
      <c r="T25" s="5"/>
      <c r="U25" s="5"/>
      <c r="V25" s="5"/>
      <c r="W25" s="5"/>
      <c r="X25" s="5"/>
      <c r="Y25" s="5"/>
      <c r="Z25" s="5"/>
      <c r="AA25" s="5"/>
      <c r="AB25" s="5"/>
      <c r="AC25" s="5"/>
      <c r="AD25" s="5"/>
    </row>
    <row r="26" spans="1:30" x14ac:dyDescent="0.2">
      <c r="A26" s="7"/>
      <c r="B26" s="10"/>
      <c r="C26" s="16"/>
      <c r="D26" s="16"/>
      <c r="E26" s="10"/>
      <c r="F26" s="10"/>
      <c r="G26" s="3"/>
      <c r="H26" s="13"/>
      <c r="I26" s="13"/>
      <c r="J26" s="5"/>
      <c r="K26" s="5"/>
      <c r="L26" s="5"/>
      <c r="M26" s="5"/>
      <c r="N26" s="5"/>
      <c r="O26" s="5"/>
      <c r="P26" s="5"/>
      <c r="Q26" s="5"/>
      <c r="R26" s="5"/>
      <c r="S26" s="5"/>
      <c r="T26" s="5"/>
      <c r="U26" s="5"/>
      <c r="V26" s="5"/>
      <c r="W26" s="5"/>
      <c r="X26" s="5"/>
      <c r="Y26" s="5"/>
      <c r="Z26" s="5"/>
      <c r="AA26" s="5"/>
      <c r="AB26" s="5"/>
      <c r="AC26" s="5"/>
      <c r="AD26" s="5"/>
    </row>
    <row r="27" spans="1:30" x14ac:dyDescent="0.2">
      <c r="A27" s="7"/>
      <c r="B27" s="10"/>
      <c r="C27" s="16"/>
      <c r="D27" s="16"/>
      <c r="E27" s="10"/>
      <c r="F27" s="10"/>
      <c r="G27" s="3"/>
      <c r="H27" s="13"/>
      <c r="I27" s="13"/>
      <c r="J27" s="5"/>
      <c r="K27" s="5"/>
      <c r="L27" s="5"/>
      <c r="M27" s="5"/>
      <c r="N27" s="5"/>
      <c r="O27" s="5"/>
      <c r="P27" s="5"/>
      <c r="Q27" s="5"/>
      <c r="R27" s="5"/>
      <c r="S27" s="5"/>
      <c r="T27" s="5"/>
      <c r="U27" s="5"/>
      <c r="V27" s="5"/>
      <c r="W27" s="5"/>
      <c r="X27" s="5"/>
      <c r="Y27" s="5"/>
      <c r="Z27" s="5"/>
      <c r="AA27" s="5"/>
      <c r="AB27" s="5"/>
      <c r="AC27" s="5"/>
      <c r="AD27" s="5"/>
    </row>
    <row r="28" spans="1:30" x14ac:dyDescent="0.2">
      <c r="A28" s="7"/>
      <c r="B28" s="10"/>
      <c r="C28" s="16"/>
      <c r="D28" s="16"/>
      <c r="E28" s="10"/>
      <c r="F28" s="10"/>
      <c r="G28" s="3"/>
      <c r="H28" s="13"/>
      <c r="I28" s="13"/>
      <c r="J28" s="5"/>
      <c r="K28" s="5"/>
      <c r="L28" s="5"/>
      <c r="M28" s="5"/>
      <c r="N28" s="5"/>
      <c r="O28" s="5"/>
      <c r="P28" s="5"/>
      <c r="Q28" s="5"/>
      <c r="R28" s="5"/>
      <c r="S28" s="5"/>
      <c r="T28" s="5"/>
      <c r="U28" s="5"/>
      <c r="V28" s="5"/>
      <c r="W28" s="5"/>
      <c r="X28" s="5"/>
      <c r="Y28" s="5"/>
      <c r="Z28" s="5"/>
      <c r="AA28" s="5"/>
      <c r="AB28" s="5"/>
      <c r="AC28" s="5"/>
      <c r="AD28" s="5"/>
    </row>
    <row r="29" spans="1:30" x14ac:dyDescent="0.2">
      <c r="A29" s="7"/>
      <c r="B29" s="10"/>
      <c r="C29" s="16"/>
      <c r="D29" s="16"/>
      <c r="E29" s="10"/>
      <c r="F29" s="10"/>
      <c r="G29" s="3"/>
      <c r="H29" s="13"/>
      <c r="I29" s="13"/>
      <c r="J29" s="5"/>
      <c r="K29" s="5"/>
      <c r="L29" s="5"/>
      <c r="M29" s="5"/>
      <c r="N29" s="5"/>
      <c r="O29" s="5"/>
      <c r="P29" s="5"/>
      <c r="Q29" s="5"/>
      <c r="R29" s="5"/>
      <c r="S29" s="5"/>
      <c r="T29" s="5"/>
      <c r="U29" s="5"/>
      <c r="V29" s="5"/>
      <c r="W29" s="5"/>
      <c r="X29" s="5"/>
      <c r="Y29" s="5"/>
      <c r="Z29" s="5"/>
      <c r="AA29" s="5"/>
      <c r="AB29" s="5"/>
      <c r="AC29" s="5"/>
      <c r="AD29" s="5"/>
    </row>
    <row r="30" spans="1:30" x14ac:dyDescent="0.2">
      <c r="A30" s="7"/>
      <c r="B30" s="10"/>
      <c r="C30" s="10"/>
      <c r="D30" s="10"/>
      <c r="E30" s="10"/>
      <c r="F30" s="10"/>
      <c r="G30" s="3"/>
      <c r="H30" s="13"/>
      <c r="I30" s="13"/>
      <c r="J30" s="5"/>
      <c r="K30" s="5"/>
      <c r="L30" s="5"/>
      <c r="M30" s="5"/>
      <c r="N30" s="5"/>
      <c r="O30" s="5"/>
      <c r="P30" s="5"/>
      <c r="Q30" s="5"/>
      <c r="R30" s="5"/>
      <c r="S30" s="5"/>
      <c r="T30" s="5"/>
      <c r="U30" s="5"/>
      <c r="V30" s="5"/>
      <c r="W30" s="5"/>
      <c r="X30" s="5"/>
      <c r="Y30" s="5"/>
      <c r="Z30" s="5"/>
      <c r="AA30" s="5"/>
      <c r="AB30" s="5"/>
      <c r="AC30" s="5"/>
      <c r="AD30" s="5"/>
    </row>
    <row r="31" spans="1:30" x14ac:dyDescent="0.2">
      <c r="A31" s="7"/>
      <c r="B31" s="10"/>
      <c r="C31" s="10"/>
      <c r="D31" s="10"/>
      <c r="E31" s="10"/>
      <c r="F31" s="10"/>
      <c r="G31" s="3"/>
      <c r="H31" s="13"/>
      <c r="I31" s="13"/>
      <c r="J31" s="5"/>
      <c r="K31" s="5"/>
      <c r="L31" s="5"/>
      <c r="M31" s="5"/>
      <c r="N31" s="5"/>
      <c r="O31" s="5"/>
      <c r="P31" s="5"/>
      <c r="Q31" s="5"/>
      <c r="R31" s="5"/>
      <c r="S31" s="5"/>
      <c r="T31" s="5"/>
      <c r="U31" s="5"/>
      <c r="V31" s="5"/>
      <c r="W31" s="5"/>
      <c r="X31" s="5"/>
      <c r="Y31" s="5"/>
      <c r="Z31" s="5"/>
      <c r="AA31" s="5"/>
      <c r="AB31" s="5"/>
      <c r="AC31" s="5"/>
      <c r="AD31" s="5"/>
    </row>
    <row r="32" spans="1:30" x14ac:dyDescent="0.2">
      <c r="A32" s="7"/>
      <c r="B32" s="10"/>
      <c r="C32" s="10"/>
      <c r="D32" s="10"/>
      <c r="E32" s="10"/>
      <c r="F32" s="10"/>
      <c r="G32" s="3"/>
      <c r="H32" s="13"/>
      <c r="I32" s="13"/>
      <c r="J32" s="5"/>
      <c r="K32" s="5"/>
      <c r="L32" s="5"/>
      <c r="M32" s="5"/>
      <c r="N32" s="5"/>
      <c r="O32" s="5"/>
      <c r="P32" s="5"/>
      <c r="Q32" s="5"/>
      <c r="R32" s="5"/>
      <c r="S32" s="5"/>
      <c r="T32" s="5"/>
      <c r="U32" s="5"/>
      <c r="V32" s="5"/>
      <c r="W32" s="5"/>
      <c r="X32" s="5"/>
      <c r="Y32" s="5"/>
      <c r="Z32" s="5"/>
      <c r="AA32" s="5"/>
      <c r="AB32" s="5"/>
      <c r="AC32" s="5"/>
      <c r="AD32" s="5"/>
    </row>
    <row r="33" spans="1:30" x14ac:dyDescent="0.2">
      <c r="A33" s="7"/>
      <c r="B33" s="10"/>
      <c r="C33" s="10"/>
      <c r="D33" s="10"/>
      <c r="E33" s="10"/>
      <c r="F33" s="10"/>
      <c r="G33" s="3"/>
      <c r="H33" s="13"/>
      <c r="I33" s="13"/>
      <c r="J33" s="5"/>
      <c r="K33" s="5"/>
      <c r="L33" s="5"/>
      <c r="M33" s="5"/>
      <c r="N33" s="5"/>
      <c r="O33" s="5"/>
      <c r="P33" s="5"/>
      <c r="Q33" s="5"/>
      <c r="R33" s="5"/>
      <c r="S33" s="5"/>
      <c r="T33" s="5"/>
      <c r="U33" s="5"/>
      <c r="V33" s="5"/>
      <c r="W33" s="5"/>
      <c r="X33" s="5"/>
      <c r="Y33" s="5"/>
      <c r="Z33" s="5"/>
      <c r="AA33" s="5"/>
      <c r="AB33" s="5"/>
      <c r="AC33" s="5"/>
      <c r="AD33" s="5"/>
    </row>
    <row r="34" spans="1:30" x14ac:dyDescent="0.2">
      <c r="A34" s="7"/>
      <c r="B34" s="10"/>
      <c r="C34" s="10"/>
      <c r="D34" s="10"/>
      <c r="E34" s="10"/>
      <c r="F34" s="10"/>
      <c r="G34" s="3"/>
      <c r="H34" s="13"/>
      <c r="I34" s="13"/>
      <c r="J34" s="5"/>
      <c r="K34" s="5"/>
      <c r="L34" s="5"/>
      <c r="M34" s="5"/>
      <c r="N34" s="5"/>
      <c r="O34" s="5"/>
      <c r="P34" s="5"/>
      <c r="Q34" s="5"/>
      <c r="R34" s="5"/>
      <c r="S34" s="5"/>
      <c r="T34" s="5"/>
      <c r="U34" s="5"/>
      <c r="V34" s="5"/>
      <c r="W34" s="5"/>
      <c r="X34" s="5"/>
      <c r="Y34" s="5"/>
      <c r="Z34" s="5"/>
      <c r="AA34" s="5"/>
      <c r="AB34" s="5"/>
      <c r="AC34" s="5"/>
      <c r="AD34" s="5"/>
    </row>
    <row r="35" spans="1:30" x14ac:dyDescent="0.2">
      <c r="A35" s="7"/>
      <c r="B35" s="10"/>
      <c r="C35" s="10"/>
      <c r="D35" s="10"/>
      <c r="E35" s="10"/>
      <c r="F35" s="10"/>
      <c r="G35" s="3"/>
      <c r="H35" s="13"/>
      <c r="I35" s="13"/>
      <c r="J35" s="5"/>
      <c r="K35" s="5"/>
      <c r="L35" s="5"/>
      <c r="M35" s="5"/>
      <c r="N35" s="5"/>
      <c r="O35" s="5"/>
      <c r="P35" s="5"/>
      <c r="Q35" s="5"/>
      <c r="R35" s="5"/>
      <c r="S35" s="5"/>
      <c r="T35" s="5"/>
      <c r="U35" s="5"/>
      <c r="V35" s="5"/>
      <c r="W35" s="5"/>
      <c r="X35" s="5"/>
      <c r="Y35" s="5"/>
      <c r="Z35" s="5"/>
      <c r="AA35" s="5"/>
      <c r="AB35" s="5"/>
      <c r="AC35" s="5"/>
      <c r="AD35" s="5"/>
    </row>
    <row r="36" spans="1:30" x14ac:dyDescent="0.2">
      <c r="A36" s="7"/>
      <c r="B36" s="10"/>
      <c r="C36" s="10"/>
      <c r="D36" s="10"/>
      <c r="E36" s="10"/>
      <c r="F36" s="10"/>
      <c r="G36" s="3"/>
      <c r="H36" s="13"/>
      <c r="I36" s="13"/>
      <c r="J36" s="5"/>
      <c r="K36" s="5"/>
      <c r="L36" s="5"/>
      <c r="M36" s="5"/>
      <c r="N36" s="5"/>
      <c r="O36" s="5"/>
      <c r="P36" s="5"/>
      <c r="Q36" s="5"/>
      <c r="R36" s="5"/>
      <c r="S36" s="5"/>
      <c r="T36" s="5"/>
      <c r="U36" s="5"/>
      <c r="V36" s="5"/>
      <c r="W36" s="5"/>
      <c r="X36" s="5"/>
      <c r="Y36" s="5"/>
      <c r="Z36" s="5"/>
      <c r="AA36" s="5"/>
      <c r="AB36" s="5"/>
      <c r="AC36" s="5"/>
      <c r="AD36" s="5"/>
    </row>
    <row r="37" spans="1:30" x14ac:dyDescent="0.2">
      <c r="G37" s="3"/>
      <c r="H37" s="13"/>
      <c r="I37" s="13"/>
      <c r="J37" s="5"/>
      <c r="K37" s="5"/>
      <c r="L37" s="5"/>
      <c r="M37" s="5"/>
      <c r="N37" s="5"/>
      <c r="O37" s="5"/>
      <c r="P37" s="5"/>
      <c r="Q37" s="5"/>
      <c r="R37" s="5"/>
      <c r="S37" s="5"/>
      <c r="T37" s="5"/>
      <c r="U37" s="5"/>
      <c r="V37" s="5"/>
      <c r="W37" s="5"/>
      <c r="X37" s="5"/>
      <c r="Y37" s="5"/>
      <c r="Z37" s="5"/>
      <c r="AA37" s="5"/>
      <c r="AB37" s="5"/>
      <c r="AC37" s="5"/>
      <c r="AD37" s="5"/>
    </row>
    <row r="38" spans="1:30" x14ac:dyDescent="0.2">
      <c r="A38" s="7" t="s">
        <v>54</v>
      </c>
      <c r="E38" s="8" t="s">
        <v>55</v>
      </c>
      <c r="G38" s="3"/>
      <c r="H38" s="13"/>
      <c r="I38" s="13"/>
      <c r="J38" s="5"/>
      <c r="K38" s="5"/>
      <c r="L38" s="5"/>
      <c r="M38" s="5"/>
      <c r="N38" s="5"/>
      <c r="O38" s="5"/>
      <c r="P38" s="5"/>
      <c r="Q38" s="5"/>
      <c r="R38" s="5"/>
      <c r="S38" s="5"/>
      <c r="T38" s="5"/>
      <c r="U38" s="5"/>
      <c r="V38" s="5"/>
      <c r="W38" s="5"/>
      <c r="X38" s="5"/>
      <c r="Y38" s="5"/>
      <c r="Z38" s="5"/>
      <c r="AA38" s="5"/>
      <c r="AB38" s="5"/>
      <c r="AC38" s="5"/>
      <c r="AD38" s="5"/>
    </row>
    <row r="39" spans="1:30" x14ac:dyDescent="0.2">
      <c r="B39" s="7" t="s">
        <v>21</v>
      </c>
      <c r="C39" s="8" t="s">
        <v>25</v>
      </c>
      <c r="D39" s="8" t="s">
        <v>46</v>
      </c>
      <c r="E39" s="8" t="s">
        <v>52</v>
      </c>
      <c r="G39" s="3"/>
      <c r="H39" s="13"/>
      <c r="I39" s="13"/>
      <c r="J39" s="5"/>
      <c r="K39" s="5"/>
      <c r="L39" s="5"/>
      <c r="M39" s="5"/>
      <c r="N39" s="5"/>
      <c r="O39" s="5"/>
      <c r="P39" s="5"/>
      <c r="Q39" s="5"/>
      <c r="R39" s="5"/>
      <c r="S39" s="5"/>
      <c r="T39" s="5"/>
      <c r="U39" s="5"/>
      <c r="V39" s="5"/>
      <c r="W39" s="5"/>
      <c r="X39" s="5"/>
      <c r="Y39" s="5"/>
      <c r="Z39" s="5"/>
      <c r="AA39" s="5"/>
      <c r="AB39" s="5"/>
      <c r="AC39" s="5"/>
      <c r="AD39" s="5"/>
    </row>
    <row r="40" spans="1:30" x14ac:dyDescent="0.2">
      <c r="B40" s="10"/>
      <c r="C40" s="10"/>
      <c r="D40" s="10"/>
      <c r="E40" s="10"/>
      <c r="G40" s="3"/>
      <c r="H40" s="13"/>
      <c r="I40" s="13"/>
      <c r="J40" s="5"/>
      <c r="K40" s="5"/>
      <c r="L40" s="5"/>
      <c r="M40" s="5"/>
      <c r="N40" s="5"/>
      <c r="O40" s="5"/>
      <c r="P40" s="5"/>
      <c r="Q40" s="5"/>
      <c r="R40" s="5"/>
      <c r="S40" s="5"/>
      <c r="T40" s="5"/>
      <c r="U40" s="5"/>
      <c r="V40" s="5"/>
      <c r="W40" s="5"/>
      <c r="X40" s="5"/>
      <c r="Y40" s="5"/>
      <c r="Z40" s="5"/>
      <c r="AA40" s="5"/>
      <c r="AB40" s="5"/>
      <c r="AC40" s="5"/>
      <c r="AD40" s="5"/>
    </row>
    <row r="41" spans="1:30" x14ac:dyDescent="0.2">
      <c r="B41" s="10"/>
      <c r="C41" s="10"/>
      <c r="D41" s="10"/>
      <c r="E41" s="10"/>
      <c r="G41" s="3"/>
      <c r="H41" s="13"/>
      <c r="I41" s="13"/>
      <c r="J41" s="5"/>
      <c r="K41" s="5"/>
      <c r="L41" s="5"/>
      <c r="M41" s="5"/>
      <c r="N41" s="5"/>
      <c r="O41" s="5"/>
      <c r="P41" s="5"/>
      <c r="Q41" s="5"/>
      <c r="R41" s="5"/>
      <c r="S41" s="5"/>
      <c r="T41" s="5"/>
      <c r="U41" s="5"/>
      <c r="V41" s="5"/>
      <c r="W41" s="5"/>
      <c r="X41" s="5"/>
      <c r="Y41" s="5"/>
      <c r="Z41" s="5"/>
      <c r="AA41" s="5"/>
      <c r="AB41" s="5"/>
      <c r="AC41" s="5"/>
      <c r="AD41" s="5"/>
    </row>
    <row r="42" spans="1:30" x14ac:dyDescent="0.2">
      <c r="B42" s="10"/>
      <c r="C42" s="10"/>
      <c r="D42" s="10"/>
      <c r="E42" s="10"/>
      <c r="G42" s="3"/>
      <c r="H42" s="13"/>
      <c r="I42" s="13"/>
      <c r="J42" s="5"/>
      <c r="K42" s="5"/>
      <c r="L42" s="5"/>
      <c r="M42" s="5"/>
      <c r="N42" s="5"/>
      <c r="O42" s="5"/>
      <c r="P42" s="5"/>
      <c r="Q42" s="5"/>
      <c r="R42" s="5"/>
      <c r="S42" s="5"/>
      <c r="T42" s="5"/>
      <c r="U42" s="5"/>
      <c r="V42" s="5"/>
      <c r="W42" s="5"/>
      <c r="X42" s="5"/>
      <c r="Y42" s="5"/>
      <c r="Z42" s="5"/>
      <c r="AA42" s="5"/>
      <c r="AB42" s="5"/>
      <c r="AC42" s="5"/>
      <c r="AD42" s="5"/>
    </row>
    <row r="43" spans="1:30" x14ac:dyDescent="0.2">
      <c r="B43" s="10"/>
      <c r="C43" s="10"/>
      <c r="D43" s="10"/>
      <c r="E43" s="10"/>
      <c r="G43" s="3"/>
      <c r="H43" s="13"/>
      <c r="I43" s="13"/>
      <c r="J43" s="5"/>
      <c r="K43" s="5"/>
      <c r="L43" s="5"/>
      <c r="M43" s="5"/>
      <c r="N43" s="5"/>
      <c r="O43" s="5"/>
      <c r="P43" s="5"/>
      <c r="Q43" s="5"/>
      <c r="R43" s="5"/>
      <c r="S43" s="5"/>
      <c r="T43" s="5"/>
      <c r="U43" s="5"/>
      <c r="V43" s="5"/>
      <c r="W43" s="5"/>
      <c r="X43" s="5"/>
      <c r="Y43" s="5"/>
      <c r="Z43" s="5"/>
      <c r="AA43" s="5"/>
      <c r="AB43" s="5"/>
      <c r="AC43" s="5"/>
      <c r="AD43" s="5"/>
    </row>
    <row r="44" spans="1:30" x14ac:dyDescent="0.2">
      <c r="B44" s="10"/>
      <c r="C44" s="10"/>
      <c r="D44" s="10"/>
      <c r="E44" s="10"/>
      <c r="G44" s="3"/>
      <c r="H44" s="13"/>
      <c r="I44" s="13"/>
      <c r="J44" s="5"/>
      <c r="K44" s="5"/>
      <c r="L44" s="5"/>
      <c r="M44" s="5"/>
      <c r="N44" s="5"/>
      <c r="O44" s="5"/>
      <c r="P44" s="5"/>
      <c r="Q44" s="5"/>
      <c r="R44" s="5"/>
      <c r="S44" s="5"/>
      <c r="T44" s="5"/>
      <c r="U44" s="5"/>
      <c r="V44" s="5"/>
      <c r="W44" s="5"/>
      <c r="X44" s="5"/>
      <c r="Y44" s="5"/>
      <c r="Z44" s="5"/>
      <c r="AA44" s="5"/>
      <c r="AB44" s="5"/>
      <c r="AC44" s="5"/>
      <c r="AD44" s="5"/>
    </row>
    <row r="45" spans="1:30" x14ac:dyDescent="0.2">
      <c r="G45" s="3"/>
      <c r="H45" s="13"/>
      <c r="I45" s="13"/>
      <c r="J45" s="5"/>
      <c r="K45" s="5"/>
      <c r="L45" s="5"/>
      <c r="M45" s="5"/>
      <c r="N45" s="5"/>
      <c r="O45" s="5"/>
      <c r="P45" s="5"/>
      <c r="Q45" s="5"/>
      <c r="R45" s="5"/>
      <c r="S45" s="5"/>
      <c r="T45" s="5"/>
      <c r="U45" s="5"/>
      <c r="V45" s="5"/>
      <c r="W45" s="5"/>
      <c r="X45" s="5"/>
      <c r="Y45" s="5"/>
      <c r="Z45" s="5"/>
      <c r="AA45" s="5"/>
      <c r="AB45" s="5"/>
      <c r="AC45" s="5"/>
      <c r="AD45" s="5"/>
    </row>
    <row r="46" spans="1:30" x14ac:dyDescent="0.2">
      <c r="A46" s="7" t="s">
        <v>56</v>
      </c>
      <c r="G46" s="3"/>
      <c r="H46" s="13"/>
      <c r="I46" s="13"/>
      <c r="J46" s="5"/>
      <c r="K46" s="5"/>
      <c r="L46" s="5"/>
      <c r="M46" s="5"/>
      <c r="N46" s="5"/>
      <c r="O46" s="5"/>
      <c r="P46" s="5"/>
      <c r="Q46" s="5"/>
      <c r="R46" s="5"/>
      <c r="S46" s="5"/>
      <c r="T46" s="5"/>
      <c r="U46" s="5"/>
      <c r="V46" s="5"/>
      <c r="W46" s="5"/>
      <c r="X46" s="5"/>
      <c r="Y46" s="5"/>
      <c r="Z46" s="5"/>
      <c r="AA46" s="5"/>
      <c r="AB46" s="5"/>
      <c r="AC46" s="5"/>
      <c r="AD46" s="5"/>
    </row>
    <row r="47" spans="1:30" x14ac:dyDescent="0.2">
      <c r="B47" s="7" t="s">
        <v>57</v>
      </c>
      <c r="C47" s="10">
        <v>50</v>
      </c>
      <c r="G47" s="3"/>
      <c r="H47" s="13"/>
      <c r="I47" s="13"/>
      <c r="J47" s="5"/>
      <c r="K47" s="5"/>
      <c r="L47" s="5"/>
      <c r="M47" s="5"/>
      <c r="N47" s="5"/>
      <c r="O47" s="5"/>
      <c r="P47" s="5"/>
      <c r="Q47" s="5"/>
      <c r="R47" s="5"/>
      <c r="S47" s="5"/>
      <c r="T47" s="5"/>
      <c r="U47" s="5"/>
      <c r="V47" s="5"/>
      <c r="W47" s="5"/>
      <c r="X47" s="5"/>
      <c r="Y47" s="5"/>
      <c r="Z47" s="5"/>
      <c r="AA47" s="5"/>
      <c r="AB47" s="5"/>
      <c r="AC47" s="5"/>
      <c r="AD47" s="5"/>
    </row>
    <row r="48" spans="1:30" x14ac:dyDescent="0.2">
      <c r="B48" s="7" t="s">
        <v>58</v>
      </c>
      <c r="C48" s="10">
        <v>1</v>
      </c>
      <c r="D48" s="10">
        <v>0.05</v>
      </c>
      <c r="E48" s="7"/>
      <c r="G48" s="3"/>
      <c r="H48" s="13"/>
      <c r="I48" s="13"/>
      <c r="J48" s="5"/>
      <c r="K48" s="5"/>
      <c r="L48" s="5"/>
      <c r="M48" s="5"/>
      <c r="N48" s="5"/>
      <c r="O48" s="5"/>
      <c r="P48" s="5"/>
      <c r="Q48" s="5"/>
      <c r="R48" s="5"/>
      <c r="S48" s="5"/>
      <c r="T48" s="5"/>
      <c r="U48" s="5"/>
      <c r="V48" s="5"/>
      <c r="W48" s="5"/>
      <c r="X48" s="5"/>
      <c r="Y48" s="5"/>
      <c r="Z48" s="5"/>
      <c r="AA48" s="5"/>
      <c r="AB48" s="5"/>
      <c r="AC48" s="5"/>
      <c r="AD48" s="5"/>
    </row>
    <row r="49" spans="1:30" x14ac:dyDescent="0.2">
      <c r="B49" s="7"/>
      <c r="E49" s="7"/>
      <c r="F49" s="7" t="s">
        <v>59</v>
      </c>
      <c r="G49" s="3"/>
      <c r="H49" s="13"/>
      <c r="I49" s="13"/>
      <c r="J49" s="5"/>
      <c r="K49" s="5"/>
      <c r="L49" s="5"/>
      <c r="M49" s="5"/>
      <c r="N49" s="5"/>
      <c r="O49" s="5"/>
      <c r="P49" s="5"/>
      <c r="Q49" s="5"/>
      <c r="R49" s="5"/>
      <c r="S49" s="5"/>
      <c r="T49" s="5"/>
      <c r="U49" s="5"/>
      <c r="V49" s="5"/>
      <c r="W49" s="5"/>
      <c r="X49" s="5"/>
      <c r="Y49" s="5"/>
      <c r="Z49" s="5"/>
      <c r="AA49" s="5"/>
      <c r="AB49" s="5"/>
      <c r="AC49" s="5"/>
      <c r="AD49" s="5"/>
    </row>
    <row r="50" spans="1:30" x14ac:dyDescent="0.2">
      <c r="A50" s="7" t="s">
        <v>60</v>
      </c>
      <c r="C50" s="5"/>
      <c r="E50" s="7"/>
      <c r="F50" s="7" t="s">
        <v>61</v>
      </c>
      <c r="G50" s="3"/>
      <c r="H50" s="13"/>
      <c r="I50" s="13"/>
      <c r="J50" s="5"/>
      <c r="K50" s="5"/>
      <c r="L50" s="5"/>
      <c r="M50" s="5"/>
      <c r="N50" s="5"/>
      <c r="O50" s="5"/>
      <c r="P50" s="5"/>
      <c r="Q50" s="5"/>
      <c r="R50" s="5"/>
      <c r="S50" s="5"/>
      <c r="T50" s="5"/>
      <c r="U50" s="5"/>
      <c r="V50" s="5"/>
      <c r="W50" s="5"/>
      <c r="X50" s="5"/>
      <c r="Y50" s="5"/>
      <c r="Z50" s="5"/>
      <c r="AA50" s="5"/>
      <c r="AB50" s="5"/>
      <c r="AC50" s="5"/>
      <c r="AD50" s="5"/>
    </row>
    <row r="51" spans="1:30" x14ac:dyDescent="0.2">
      <c r="A51" s="7"/>
      <c r="B51" s="7" t="s">
        <v>62</v>
      </c>
      <c r="C51" s="5"/>
      <c r="D51" s="10" t="s">
        <v>63</v>
      </c>
      <c r="E51" s="17" t="s">
        <v>64</v>
      </c>
      <c r="F51" s="10" t="s">
        <v>63</v>
      </c>
      <c r="G51" s="3"/>
      <c r="H51" s="13"/>
      <c r="I51" s="13"/>
      <c r="J51" s="5"/>
      <c r="K51" s="5"/>
      <c r="L51" s="5"/>
      <c r="M51" s="5"/>
      <c r="N51" s="5"/>
      <c r="O51" s="5"/>
      <c r="P51" s="5"/>
      <c r="Q51" s="5"/>
      <c r="R51" s="5"/>
      <c r="S51" s="5"/>
      <c r="T51" s="5"/>
      <c r="U51" s="5"/>
      <c r="V51" s="5"/>
      <c r="W51" s="5"/>
      <c r="X51" s="5"/>
      <c r="Y51" s="5"/>
      <c r="Z51" s="5"/>
      <c r="AA51" s="5"/>
      <c r="AB51" s="5"/>
      <c r="AC51" s="5"/>
      <c r="AD51" s="5"/>
    </row>
    <row r="52" spans="1:30" x14ac:dyDescent="0.2">
      <c r="A52" s="7"/>
      <c r="B52" s="7" t="s">
        <v>65</v>
      </c>
      <c r="C52" s="5"/>
      <c r="D52" s="10"/>
      <c r="E52" s="17" t="s">
        <v>66</v>
      </c>
      <c r="F52" s="10" t="s">
        <v>63</v>
      </c>
      <c r="G52" s="3"/>
      <c r="H52" s="13"/>
      <c r="I52" s="13"/>
      <c r="J52" s="5"/>
      <c r="K52" s="5"/>
      <c r="L52" s="5"/>
      <c r="M52" s="5"/>
      <c r="N52" s="5"/>
      <c r="O52" s="5"/>
      <c r="P52" s="5"/>
      <c r="Q52" s="5"/>
      <c r="R52" s="5"/>
      <c r="S52" s="5"/>
      <c r="T52" s="5"/>
      <c r="U52" s="5"/>
      <c r="V52" s="5"/>
      <c r="W52" s="5"/>
      <c r="X52" s="5"/>
      <c r="Y52" s="5"/>
      <c r="Z52" s="5"/>
      <c r="AA52" s="5"/>
      <c r="AB52" s="5"/>
      <c r="AC52" s="5"/>
      <c r="AD52" s="5"/>
    </row>
    <row r="53" spans="1:30" x14ac:dyDescent="0.2">
      <c r="A53" s="7"/>
      <c r="B53" s="7" t="s">
        <v>67</v>
      </c>
      <c r="D53" s="10"/>
      <c r="E53" s="17" t="s">
        <v>36</v>
      </c>
      <c r="F53" s="10" t="s">
        <v>63</v>
      </c>
      <c r="G53" s="3"/>
      <c r="H53" s="13"/>
      <c r="I53" s="13"/>
      <c r="J53" s="5"/>
      <c r="K53" s="5"/>
      <c r="L53" s="5"/>
      <c r="M53" s="5"/>
      <c r="N53" s="5"/>
      <c r="O53" s="5"/>
      <c r="P53" s="5"/>
      <c r="Q53" s="5"/>
      <c r="R53" s="5"/>
      <c r="S53" s="5"/>
      <c r="T53" s="5"/>
      <c r="U53" s="5"/>
      <c r="V53" s="5"/>
      <c r="W53" s="5"/>
      <c r="X53" s="5"/>
      <c r="Y53" s="5"/>
      <c r="Z53" s="5"/>
      <c r="AA53" s="5"/>
      <c r="AB53" s="5"/>
      <c r="AC53" s="5"/>
      <c r="AD53" s="5"/>
    </row>
    <row r="54" spans="1:30" x14ac:dyDescent="0.2">
      <c r="B54" s="7" t="s">
        <v>68</v>
      </c>
      <c r="D54" s="10"/>
      <c r="G54" s="3"/>
      <c r="H54" s="13"/>
      <c r="I54" s="13"/>
      <c r="J54" s="5"/>
      <c r="K54" s="5"/>
      <c r="L54" s="5"/>
      <c r="M54" s="5"/>
      <c r="N54" s="5"/>
      <c r="O54" s="5"/>
      <c r="P54" s="5"/>
      <c r="Q54" s="5"/>
      <c r="R54" s="5"/>
      <c r="S54" s="5"/>
      <c r="T54" s="5"/>
      <c r="U54" s="5"/>
      <c r="V54" s="5"/>
      <c r="W54" s="5"/>
      <c r="X54" s="5"/>
      <c r="Y54" s="5"/>
      <c r="Z54" s="5"/>
      <c r="AA54" s="5"/>
      <c r="AB54" s="5"/>
      <c r="AC54" s="5"/>
      <c r="AD54" s="5"/>
    </row>
    <row r="55" spans="1:30" x14ac:dyDescent="0.2">
      <c r="B55" s="7" t="s">
        <v>69</v>
      </c>
      <c r="D55" s="10"/>
      <c r="G55" s="3"/>
      <c r="H55" s="13"/>
      <c r="I55" s="13"/>
      <c r="J55" s="5"/>
      <c r="K55" s="5"/>
      <c r="L55" s="5"/>
      <c r="M55" s="5"/>
      <c r="N55" s="5"/>
      <c r="O55" s="5"/>
      <c r="P55" s="5"/>
      <c r="Q55" s="5"/>
      <c r="R55" s="5"/>
      <c r="S55" s="5"/>
      <c r="T55" s="5"/>
      <c r="U55" s="5"/>
      <c r="V55" s="5"/>
      <c r="W55" s="5"/>
      <c r="X55" s="5"/>
      <c r="Y55" s="5"/>
      <c r="Z55" s="5"/>
      <c r="AA55" s="5"/>
      <c r="AB55" s="5"/>
      <c r="AC55" s="5"/>
      <c r="AD55" s="5"/>
    </row>
    <row r="56" spans="1:30" x14ac:dyDescent="0.2">
      <c r="B56" s="7" t="s">
        <v>70</v>
      </c>
      <c r="D56" s="10"/>
      <c r="G56" s="3"/>
      <c r="H56" s="13"/>
      <c r="I56" s="13"/>
      <c r="J56" s="5"/>
      <c r="K56" s="5"/>
      <c r="L56" s="5"/>
      <c r="M56" s="5"/>
      <c r="N56" s="5"/>
      <c r="O56" s="5"/>
      <c r="P56" s="5"/>
      <c r="Q56" s="5"/>
      <c r="R56" s="5"/>
      <c r="S56" s="5"/>
      <c r="T56" s="5"/>
      <c r="U56" s="5"/>
      <c r="V56" s="5"/>
      <c r="W56" s="5"/>
      <c r="X56" s="5"/>
      <c r="Y56" s="5"/>
      <c r="Z56" s="5"/>
      <c r="AA56" s="5"/>
      <c r="AB56" s="5"/>
      <c r="AC56" s="5"/>
      <c r="AD56" s="5"/>
    </row>
    <row r="57" spans="1:30" x14ac:dyDescent="0.2">
      <c r="A57" s="7"/>
      <c r="B57" s="7" t="s">
        <v>71</v>
      </c>
      <c r="D57" s="10"/>
      <c r="G57" s="3"/>
      <c r="H57" s="13"/>
      <c r="I57" s="13"/>
      <c r="J57" s="5"/>
      <c r="K57" s="5"/>
      <c r="L57" s="5"/>
      <c r="M57" s="5"/>
      <c r="N57" s="5"/>
      <c r="O57" s="5"/>
      <c r="P57" s="5"/>
      <c r="Q57" s="5"/>
      <c r="R57" s="5"/>
      <c r="S57" s="5"/>
      <c r="T57" s="5"/>
      <c r="U57" s="5"/>
      <c r="V57" s="5"/>
      <c r="W57" s="5"/>
      <c r="X57" s="5"/>
      <c r="Y57" s="5"/>
      <c r="Z57" s="5"/>
      <c r="AA57" s="5"/>
      <c r="AB57" s="5"/>
      <c r="AC57" s="5"/>
      <c r="AD57" s="5"/>
    </row>
    <row r="58" spans="1:30" x14ac:dyDescent="0.2">
      <c r="A58" s="7"/>
      <c r="B58" s="7" t="s">
        <v>72</v>
      </c>
      <c r="D58" s="10"/>
      <c r="G58" s="3"/>
      <c r="H58" s="13"/>
      <c r="I58" s="13"/>
      <c r="J58" s="5"/>
      <c r="K58" s="5"/>
      <c r="L58" s="5"/>
      <c r="M58" s="5"/>
      <c r="N58" s="5"/>
      <c r="O58" s="5"/>
      <c r="P58" s="5"/>
      <c r="Q58" s="5"/>
      <c r="R58" s="5"/>
      <c r="S58" s="5"/>
      <c r="T58" s="5"/>
      <c r="U58" s="5"/>
      <c r="V58" s="5"/>
      <c r="W58" s="5"/>
      <c r="X58" s="5"/>
      <c r="Y58" s="5"/>
      <c r="Z58" s="5"/>
      <c r="AA58" s="5"/>
      <c r="AB58" s="5"/>
      <c r="AC58" s="5"/>
      <c r="AD58" s="5"/>
    </row>
    <row r="59" spans="1:30" x14ac:dyDescent="0.2">
      <c r="A59" s="7"/>
      <c r="B59" s="7" t="s">
        <v>73</v>
      </c>
      <c r="D59" s="10"/>
      <c r="G59" s="3"/>
      <c r="H59" s="13"/>
      <c r="I59" s="13"/>
      <c r="J59" s="5"/>
      <c r="K59" s="5"/>
      <c r="L59" s="5"/>
      <c r="M59" s="5"/>
      <c r="N59" s="5"/>
      <c r="O59" s="5"/>
      <c r="P59" s="5"/>
      <c r="Q59" s="5"/>
      <c r="R59" s="5"/>
      <c r="S59" s="5"/>
      <c r="T59" s="5"/>
      <c r="U59" s="5"/>
      <c r="V59" s="5"/>
      <c r="W59" s="5"/>
      <c r="X59" s="5"/>
      <c r="Y59" s="5"/>
      <c r="Z59" s="5"/>
      <c r="AA59" s="5"/>
      <c r="AB59" s="5"/>
      <c r="AC59" s="5"/>
      <c r="AD59" s="5"/>
    </row>
    <row r="60" spans="1:30" x14ac:dyDescent="0.2">
      <c r="A60" s="7"/>
      <c r="B60" s="7" t="s">
        <v>74</v>
      </c>
      <c r="D60" s="10"/>
      <c r="G60" s="3"/>
      <c r="H60" s="13"/>
      <c r="I60" s="13"/>
      <c r="J60" s="5"/>
      <c r="K60" s="5"/>
      <c r="L60" s="5"/>
      <c r="M60" s="5"/>
      <c r="N60" s="5"/>
      <c r="O60" s="5"/>
      <c r="P60" s="5"/>
      <c r="Q60" s="5"/>
      <c r="R60" s="5"/>
      <c r="S60" s="5"/>
      <c r="T60" s="5"/>
      <c r="U60" s="5"/>
      <c r="V60" s="5"/>
      <c r="W60" s="5"/>
      <c r="X60" s="5"/>
      <c r="Y60" s="5"/>
      <c r="Z60" s="5"/>
      <c r="AA60" s="5"/>
      <c r="AB60" s="5"/>
      <c r="AC60" s="5"/>
      <c r="AD60" s="5"/>
    </row>
    <row r="61" spans="1:30" x14ac:dyDescent="0.2">
      <c r="A61" s="7"/>
      <c r="B61" s="7" t="s">
        <v>75</v>
      </c>
      <c r="D61" s="10"/>
      <c r="G61" s="3"/>
      <c r="H61" s="13"/>
      <c r="I61" s="13"/>
      <c r="J61" s="5"/>
      <c r="K61" s="5"/>
      <c r="L61" s="5"/>
      <c r="M61" s="5"/>
      <c r="N61" s="5"/>
      <c r="O61" s="5"/>
      <c r="P61" s="5"/>
      <c r="Q61" s="5"/>
      <c r="R61" s="5"/>
      <c r="S61" s="5"/>
      <c r="T61" s="5"/>
      <c r="U61" s="5"/>
      <c r="V61" s="5"/>
      <c r="W61" s="5"/>
      <c r="X61" s="5"/>
      <c r="Y61" s="5"/>
      <c r="Z61" s="5"/>
      <c r="AA61" s="5"/>
      <c r="AB61" s="5"/>
      <c r="AC61" s="5"/>
      <c r="AD61" s="5"/>
    </row>
    <row r="62" spans="1:30" x14ac:dyDescent="0.2">
      <c r="A62" s="7"/>
      <c r="G62" s="3"/>
      <c r="H62" s="13"/>
      <c r="I62" s="13"/>
      <c r="J62" s="5"/>
      <c r="K62" s="5"/>
      <c r="L62" s="5"/>
      <c r="M62" s="5"/>
      <c r="N62" s="5"/>
      <c r="O62" s="5"/>
      <c r="P62" s="5"/>
      <c r="Q62" s="5"/>
      <c r="R62" s="5"/>
      <c r="S62" s="5"/>
      <c r="T62" s="5"/>
      <c r="U62" s="5"/>
      <c r="V62" s="5"/>
      <c r="W62" s="5"/>
      <c r="X62" s="5"/>
      <c r="Y62" s="5"/>
      <c r="Z62" s="5"/>
      <c r="AA62" s="5"/>
      <c r="AB62" s="5"/>
      <c r="AC62" s="5"/>
      <c r="AD62" s="5"/>
    </row>
    <row r="63" spans="1:30" x14ac:dyDescent="0.2">
      <c r="A63" s="7" t="s">
        <v>76</v>
      </c>
      <c r="F63" s="7" t="s">
        <v>77</v>
      </c>
      <c r="G63" s="3"/>
      <c r="H63" s="13"/>
      <c r="I63" s="13"/>
      <c r="J63" s="5"/>
      <c r="K63" s="5"/>
      <c r="L63" s="5"/>
      <c r="M63" s="5"/>
      <c r="N63" s="5"/>
      <c r="O63" s="5"/>
      <c r="P63" s="5"/>
      <c r="Q63" s="5"/>
      <c r="R63" s="5"/>
      <c r="S63" s="5"/>
      <c r="T63" s="5"/>
      <c r="U63" s="5"/>
      <c r="V63" s="5"/>
      <c r="W63" s="5"/>
      <c r="X63" s="5"/>
      <c r="Y63" s="5"/>
      <c r="Z63" s="5"/>
      <c r="AA63" s="5"/>
      <c r="AB63" s="5"/>
      <c r="AC63" s="5"/>
      <c r="AD63" s="5"/>
    </row>
    <row r="64" spans="1:30" x14ac:dyDescent="0.2">
      <c r="B64" s="7" t="s">
        <v>78</v>
      </c>
      <c r="D64" s="10"/>
      <c r="F64" s="10">
        <v>0</v>
      </c>
      <c r="G64" s="3"/>
      <c r="H64" s="13"/>
      <c r="I64" s="13"/>
      <c r="J64" s="5"/>
      <c r="K64" s="5"/>
      <c r="L64" s="5"/>
      <c r="M64" s="5"/>
      <c r="N64" s="5"/>
      <c r="O64" s="5"/>
      <c r="P64" s="5"/>
      <c r="Q64" s="5"/>
      <c r="R64" s="5"/>
      <c r="S64" s="5"/>
      <c r="T64" s="5"/>
      <c r="U64" s="5"/>
      <c r="V64" s="5"/>
      <c r="W64" s="5"/>
      <c r="X64" s="5"/>
      <c r="Y64" s="5"/>
      <c r="Z64" s="5"/>
      <c r="AA64" s="5"/>
      <c r="AB64" s="5"/>
      <c r="AC64" s="5"/>
      <c r="AD64" s="5"/>
    </row>
    <row r="65" spans="1:30" x14ac:dyDescent="0.2">
      <c r="B65" s="7" t="s">
        <v>79</v>
      </c>
      <c r="D65" s="10" t="s">
        <v>63</v>
      </c>
      <c r="G65" s="3"/>
      <c r="H65" s="13"/>
      <c r="I65" s="13"/>
      <c r="J65" s="5"/>
      <c r="K65" s="5"/>
      <c r="L65" s="5"/>
      <c r="M65" s="5"/>
      <c r="N65" s="5"/>
      <c r="O65" s="5"/>
      <c r="P65" s="5"/>
      <c r="Q65" s="5"/>
      <c r="R65" s="5"/>
      <c r="S65" s="5"/>
      <c r="T65" s="5"/>
      <c r="U65" s="5"/>
      <c r="V65" s="5"/>
      <c r="W65" s="5"/>
      <c r="X65" s="5"/>
      <c r="Y65" s="5"/>
      <c r="Z65" s="5"/>
      <c r="AA65" s="5"/>
      <c r="AB65" s="5"/>
      <c r="AC65" s="5"/>
      <c r="AD65" s="5"/>
    </row>
    <row r="66" spans="1:30" x14ac:dyDescent="0.2">
      <c r="G66" s="3"/>
      <c r="H66" s="13"/>
      <c r="I66" s="13"/>
      <c r="J66" s="5"/>
      <c r="K66" s="5"/>
      <c r="L66" s="5"/>
      <c r="M66" s="5"/>
      <c r="N66" s="5"/>
      <c r="O66" s="5"/>
      <c r="P66" s="5"/>
      <c r="Q66" s="5"/>
      <c r="R66" s="5"/>
      <c r="S66" s="5"/>
      <c r="T66" s="5"/>
      <c r="U66" s="5"/>
      <c r="V66" s="5"/>
      <c r="W66" s="5"/>
      <c r="X66" s="5"/>
      <c r="Y66" s="5"/>
      <c r="Z66" s="5"/>
      <c r="AA66" s="5"/>
      <c r="AB66" s="5"/>
      <c r="AC66" s="5"/>
      <c r="AD66" s="5"/>
    </row>
    <row r="67" spans="1:30" x14ac:dyDescent="0.2">
      <c r="A67" s="7" t="s">
        <v>80</v>
      </c>
      <c r="F67" s="7" t="s">
        <v>31</v>
      </c>
      <c r="G67" s="3"/>
      <c r="H67" s="13"/>
      <c r="I67" s="13"/>
      <c r="J67" s="5"/>
      <c r="K67" s="5"/>
      <c r="L67" s="5"/>
      <c r="M67" s="5"/>
      <c r="N67" s="5"/>
      <c r="O67" s="5"/>
      <c r="P67" s="5"/>
      <c r="Q67" s="5"/>
      <c r="R67" s="5"/>
      <c r="S67" s="5"/>
      <c r="T67" s="5"/>
      <c r="U67" s="5"/>
      <c r="V67" s="5"/>
      <c r="W67" s="5"/>
      <c r="X67" s="5"/>
      <c r="Y67" s="5"/>
      <c r="Z67" s="5"/>
      <c r="AA67" s="5"/>
      <c r="AB67" s="5"/>
      <c r="AC67" s="5"/>
      <c r="AD67" s="5"/>
    </row>
    <row r="68" spans="1:30" x14ac:dyDescent="0.2">
      <c r="B68" s="7" t="s">
        <v>78</v>
      </c>
      <c r="D68" s="10"/>
      <c r="E68" s="17" t="s">
        <v>81</v>
      </c>
      <c r="F68" s="10"/>
      <c r="G68" s="3"/>
      <c r="H68" s="13"/>
      <c r="I68" s="13"/>
      <c r="J68" s="5"/>
      <c r="K68" s="5"/>
      <c r="L68" s="5"/>
      <c r="M68" s="5"/>
      <c r="N68" s="5"/>
      <c r="O68" s="5"/>
      <c r="P68" s="5"/>
      <c r="Q68" s="5"/>
      <c r="R68" s="5"/>
      <c r="S68" s="5"/>
      <c r="T68" s="5"/>
      <c r="U68" s="5"/>
      <c r="V68" s="5"/>
      <c r="W68" s="5"/>
      <c r="X68" s="5"/>
      <c r="Y68" s="5"/>
      <c r="Z68" s="5"/>
      <c r="AA68" s="5"/>
      <c r="AB68" s="5"/>
      <c r="AC68" s="5"/>
      <c r="AD68" s="5"/>
    </row>
    <row r="69" spans="1:30" x14ac:dyDescent="0.2">
      <c r="B69" s="7" t="s">
        <v>82</v>
      </c>
      <c r="D69" s="10"/>
      <c r="E69" s="17" t="s">
        <v>83</v>
      </c>
      <c r="F69" s="10"/>
      <c r="G69" s="3"/>
      <c r="H69" s="13"/>
      <c r="I69" s="13"/>
      <c r="J69" s="5"/>
      <c r="K69" s="5"/>
      <c r="L69" s="5"/>
      <c r="M69" s="5"/>
      <c r="N69" s="5"/>
      <c r="O69" s="5"/>
      <c r="P69" s="5"/>
      <c r="Q69" s="5"/>
      <c r="R69" s="5"/>
      <c r="S69" s="5"/>
      <c r="T69" s="5"/>
      <c r="U69" s="5"/>
      <c r="V69" s="5"/>
      <c r="W69" s="5"/>
      <c r="X69" s="5"/>
      <c r="Y69" s="5"/>
      <c r="Z69" s="5"/>
      <c r="AA69" s="5"/>
      <c r="AB69" s="5"/>
      <c r="AC69" s="5"/>
      <c r="AD69" s="5"/>
    </row>
    <row r="70" spans="1:30" x14ac:dyDescent="0.2">
      <c r="B70" s="7" t="s">
        <v>84</v>
      </c>
      <c r="D70" s="10"/>
      <c r="E70" s="17" t="s">
        <v>85</v>
      </c>
      <c r="F70" s="10" t="s">
        <v>63</v>
      </c>
      <c r="G70" s="3"/>
      <c r="H70" s="13"/>
      <c r="I70" s="13"/>
      <c r="J70" s="5"/>
      <c r="K70" s="5"/>
      <c r="L70" s="5"/>
      <c r="M70" s="5"/>
      <c r="N70" s="5"/>
      <c r="O70" s="5"/>
      <c r="P70" s="5"/>
      <c r="Q70" s="5"/>
      <c r="R70" s="5"/>
      <c r="S70" s="5"/>
      <c r="T70" s="5"/>
      <c r="U70" s="5"/>
      <c r="V70" s="5"/>
      <c r="W70" s="5"/>
      <c r="X70" s="5"/>
      <c r="Y70" s="5"/>
      <c r="Z70" s="5"/>
      <c r="AA70" s="5"/>
      <c r="AB70" s="5"/>
      <c r="AC70" s="5"/>
      <c r="AD70" s="5"/>
    </row>
    <row r="71" spans="1:30" x14ac:dyDescent="0.2">
      <c r="B71" s="7" t="s">
        <v>86</v>
      </c>
      <c r="D71" s="10"/>
      <c r="G71" s="3"/>
      <c r="H71" s="13"/>
      <c r="I71" s="13"/>
      <c r="J71" s="5"/>
      <c r="K71" s="5"/>
      <c r="L71" s="5"/>
      <c r="M71" s="5"/>
      <c r="N71" s="5"/>
      <c r="O71" s="5"/>
      <c r="P71" s="5"/>
      <c r="Q71" s="5"/>
      <c r="R71" s="5"/>
      <c r="S71" s="5"/>
      <c r="T71" s="5"/>
      <c r="U71" s="5"/>
      <c r="V71" s="5"/>
      <c r="W71" s="5"/>
      <c r="X71" s="5"/>
      <c r="Y71" s="5"/>
      <c r="Z71" s="5"/>
      <c r="AA71" s="5"/>
      <c r="AB71" s="5"/>
      <c r="AC71" s="5"/>
      <c r="AD71" s="5"/>
    </row>
    <row r="72" spans="1:30" x14ac:dyDescent="0.2">
      <c r="B72" s="7" t="s">
        <v>87</v>
      </c>
      <c r="D72" s="10" t="s">
        <v>63</v>
      </c>
      <c r="G72" s="3"/>
      <c r="H72" s="13"/>
      <c r="I72" s="13"/>
      <c r="J72" s="5"/>
      <c r="K72" s="5"/>
      <c r="L72" s="5"/>
      <c r="M72" s="5"/>
      <c r="N72" s="5"/>
      <c r="O72" s="5"/>
      <c r="P72" s="5"/>
      <c r="Q72" s="5"/>
      <c r="R72" s="5"/>
      <c r="S72" s="5"/>
      <c r="T72" s="5"/>
      <c r="U72" s="5"/>
      <c r="V72" s="5"/>
      <c r="W72" s="5"/>
      <c r="X72" s="5"/>
      <c r="Y72" s="5"/>
      <c r="Z72" s="5"/>
      <c r="AA72" s="5"/>
      <c r="AB72" s="5"/>
      <c r="AC72" s="5"/>
      <c r="AD72" s="5"/>
    </row>
    <row r="73" spans="1:30" x14ac:dyDescent="0.2">
      <c r="G73" s="3"/>
      <c r="H73" s="13"/>
      <c r="I73" s="13"/>
      <c r="J73" s="5"/>
      <c r="K73" s="5"/>
      <c r="L73" s="5"/>
      <c r="M73" s="5"/>
      <c r="N73" s="5"/>
      <c r="O73" s="5"/>
      <c r="P73" s="5"/>
      <c r="Q73" s="5"/>
      <c r="R73" s="5"/>
      <c r="S73" s="5"/>
      <c r="T73" s="5"/>
      <c r="U73" s="5"/>
      <c r="V73" s="5"/>
      <c r="W73" s="5"/>
      <c r="X73" s="5"/>
      <c r="Y73" s="5"/>
      <c r="Z73" s="5"/>
      <c r="AA73" s="5"/>
      <c r="AB73" s="5"/>
      <c r="AC73" s="5"/>
      <c r="AD73" s="5"/>
    </row>
    <row r="74" spans="1:30" x14ac:dyDescent="0.2">
      <c r="A74" s="7" t="s">
        <v>88</v>
      </c>
      <c r="G74" s="3"/>
      <c r="H74" s="13"/>
      <c r="I74" s="13"/>
      <c r="J74" s="5"/>
      <c r="K74" s="5"/>
      <c r="L74" s="5"/>
      <c r="M74" s="5"/>
      <c r="N74" s="5"/>
      <c r="O74" s="5"/>
      <c r="P74" s="5"/>
      <c r="Q74" s="5"/>
      <c r="R74" s="5"/>
      <c r="S74" s="5"/>
      <c r="T74" s="5"/>
      <c r="U74" s="5"/>
      <c r="V74" s="5"/>
      <c r="W74" s="5"/>
      <c r="X74" s="5"/>
      <c r="Y74" s="5"/>
      <c r="Z74" s="5"/>
      <c r="AA74" s="5"/>
      <c r="AB74" s="5"/>
      <c r="AC74" s="5"/>
      <c r="AD74" s="5"/>
    </row>
    <row r="75" spans="1:30" x14ac:dyDescent="0.2">
      <c r="B75" s="7" t="s">
        <v>89</v>
      </c>
      <c r="D75" s="10">
        <v>7.8669812257952865</v>
      </c>
      <c r="G75" s="3"/>
      <c r="H75" s="13"/>
      <c r="I75" s="13"/>
      <c r="J75" s="5"/>
      <c r="K75" s="5"/>
      <c r="L75" s="5"/>
      <c r="M75" s="5"/>
      <c r="N75" s="5"/>
      <c r="O75" s="5"/>
      <c r="P75" s="5"/>
      <c r="Q75" s="5"/>
      <c r="R75" s="5"/>
      <c r="S75" s="5"/>
      <c r="T75" s="5"/>
      <c r="U75" s="5"/>
      <c r="V75" s="5"/>
      <c r="W75" s="5"/>
      <c r="X75" s="5"/>
      <c r="Y75" s="5"/>
      <c r="Z75" s="5"/>
      <c r="AA75" s="5"/>
      <c r="AB75" s="5"/>
      <c r="AC75" s="5"/>
      <c r="AD75" s="5"/>
    </row>
    <row r="76" spans="1:30" x14ac:dyDescent="0.2">
      <c r="B76" s="7" t="s">
        <v>90</v>
      </c>
      <c r="D76" s="10">
        <v>0.67173956123907264</v>
      </c>
      <c r="G76" s="3"/>
      <c r="H76" s="13"/>
      <c r="I76" s="13"/>
      <c r="J76" s="5"/>
      <c r="K76" s="5"/>
      <c r="L76" s="5"/>
      <c r="M76" s="5"/>
      <c r="N76" s="5"/>
      <c r="O76" s="5"/>
      <c r="P76" s="5"/>
      <c r="Q76" s="5"/>
      <c r="R76" s="5"/>
      <c r="S76" s="5"/>
      <c r="T76" s="5"/>
      <c r="U76" s="5"/>
      <c r="V76" s="5"/>
      <c r="W76" s="5"/>
      <c r="X76" s="5"/>
      <c r="Y76" s="5"/>
      <c r="Z76" s="5"/>
      <c r="AA76" s="5"/>
      <c r="AB76" s="5"/>
      <c r="AC76" s="5"/>
      <c r="AD76" s="5"/>
    </row>
    <row r="77" spans="1:30" x14ac:dyDescent="0.2">
      <c r="B77" s="7" t="s">
        <v>91</v>
      </c>
      <c r="D77" s="10">
        <v>12.406562990499999</v>
      </c>
      <c r="G77" s="3"/>
      <c r="H77" s="13"/>
      <c r="I77" s="13"/>
      <c r="J77" s="5"/>
      <c r="K77" s="5"/>
      <c r="L77" s="5"/>
      <c r="M77" s="5"/>
      <c r="N77" s="5"/>
      <c r="O77" s="5"/>
      <c r="P77" s="5"/>
      <c r="Q77" s="5"/>
      <c r="R77" s="5"/>
      <c r="S77" s="5"/>
      <c r="T77" s="5"/>
      <c r="U77" s="5"/>
      <c r="V77" s="5"/>
      <c r="W77" s="5"/>
      <c r="X77" s="5"/>
      <c r="Y77" s="5"/>
      <c r="Z77" s="5"/>
      <c r="AA77" s="5"/>
      <c r="AB77" s="5"/>
      <c r="AC77" s="5"/>
      <c r="AD77" s="5"/>
    </row>
    <row r="78" spans="1:30" x14ac:dyDescent="0.2">
      <c r="B78" s="7" t="s">
        <v>92</v>
      </c>
      <c r="D78" s="10"/>
      <c r="G78" s="3"/>
      <c r="H78" s="13"/>
      <c r="I78" s="13"/>
      <c r="J78" s="5"/>
      <c r="K78" s="5"/>
      <c r="L78" s="5"/>
      <c r="M78" s="5"/>
      <c r="N78" s="5"/>
      <c r="O78" s="5"/>
      <c r="P78" s="5"/>
      <c r="Q78" s="5"/>
      <c r="R78" s="5"/>
      <c r="S78" s="5"/>
      <c r="T78" s="5"/>
      <c r="U78" s="5"/>
      <c r="V78" s="5"/>
      <c r="W78" s="5"/>
      <c r="X78" s="5"/>
      <c r="Y78" s="5"/>
      <c r="Z78" s="5"/>
      <c r="AA78" s="5"/>
      <c r="AB78" s="5"/>
      <c r="AC78" s="5"/>
      <c r="AD78" s="5"/>
    </row>
    <row r="79" spans="1:30" x14ac:dyDescent="0.2">
      <c r="B79" s="7" t="s">
        <v>93</v>
      </c>
      <c r="D79" s="10"/>
      <c r="G79" s="3"/>
      <c r="H79" s="13"/>
      <c r="I79" s="13"/>
      <c r="J79" s="5"/>
      <c r="K79" s="5"/>
      <c r="L79" s="5"/>
      <c r="M79" s="5"/>
      <c r="N79" s="5"/>
      <c r="O79" s="5"/>
      <c r="P79" s="5"/>
      <c r="Q79" s="5"/>
      <c r="R79" s="5"/>
      <c r="S79" s="5"/>
      <c r="T79" s="5"/>
      <c r="U79" s="5"/>
      <c r="V79" s="5"/>
      <c r="W79" s="5"/>
      <c r="X79" s="5"/>
      <c r="Y79" s="5"/>
      <c r="Z79" s="5"/>
      <c r="AA79" s="5"/>
      <c r="AB79" s="5"/>
      <c r="AC79" s="5"/>
      <c r="AD79" s="5"/>
    </row>
    <row r="80" spans="1:30" x14ac:dyDescent="0.2">
      <c r="B80" s="7" t="s">
        <v>94</v>
      </c>
      <c r="D80" s="10"/>
      <c r="G80" s="3"/>
      <c r="H80" s="13"/>
      <c r="I80" s="13"/>
      <c r="J80" s="5"/>
      <c r="K80" s="5"/>
      <c r="L80" s="5"/>
      <c r="M80" s="5"/>
      <c r="N80" s="5"/>
      <c r="O80" s="5"/>
      <c r="P80" s="5"/>
      <c r="Q80" s="5"/>
      <c r="R80" s="5"/>
      <c r="S80" s="5"/>
      <c r="T80" s="5"/>
      <c r="U80" s="5"/>
      <c r="V80" s="5"/>
      <c r="W80" s="5"/>
      <c r="X80" s="5"/>
      <c r="Y80" s="5"/>
      <c r="Z80" s="5"/>
      <c r="AA80" s="5"/>
      <c r="AB80" s="5"/>
      <c r="AC80" s="5"/>
      <c r="AD80" s="5"/>
    </row>
    <row r="81" spans="2:30" x14ac:dyDescent="0.2">
      <c r="B81" s="7" t="s">
        <v>95</v>
      </c>
      <c r="D81" s="10"/>
      <c r="G81" s="3"/>
      <c r="H81" s="13"/>
      <c r="I81" s="13"/>
      <c r="J81" s="5"/>
      <c r="K81" s="5"/>
      <c r="L81" s="5"/>
      <c r="M81" s="5"/>
      <c r="N81" s="5"/>
      <c r="O81" s="5"/>
      <c r="P81" s="5"/>
      <c r="Q81" s="5"/>
      <c r="R81" s="5"/>
      <c r="S81" s="5"/>
      <c r="T81" s="5"/>
      <c r="U81" s="5"/>
      <c r="V81" s="5"/>
      <c r="W81" s="5"/>
      <c r="X81" s="5"/>
      <c r="Y81" s="5"/>
      <c r="Z81" s="5"/>
      <c r="AA81" s="5"/>
      <c r="AB81" s="5"/>
      <c r="AC81" s="5"/>
      <c r="AD81" s="5"/>
    </row>
    <row r="82" spans="2:30" x14ac:dyDescent="0.2">
      <c r="B82" s="7" t="s">
        <v>96</v>
      </c>
      <c r="D82" s="10"/>
      <c r="G82" s="3"/>
      <c r="H82" s="13"/>
      <c r="I82" s="13"/>
      <c r="J82" s="5"/>
      <c r="K82" s="5"/>
      <c r="L82" s="5"/>
      <c r="M82" s="5"/>
      <c r="N82" s="5"/>
      <c r="O82" s="5"/>
      <c r="P82" s="5"/>
      <c r="Q82" s="5"/>
      <c r="R82" s="5"/>
      <c r="S82" s="5"/>
      <c r="T82" s="5"/>
      <c r="U82" s="5"/>
      <c r="V82" s="5"/>
      <c r="W82" s="5"/>
      <c r="X82" s="5"/>
      <c r="Y82" s="5"/>
      <c r="Z82" s="5"/>
      <c r="AA82" s="5"/>
      <c r="AB82" s="5"/>
      <c r="AC82" s="5"/>
      <c r="AD82" s="5"/>
    </row>
    <row r="83" spans="2:30" x14ac:dyDescent="0.2">
      <c r="B83" s="7" t="s">
        <v>97</v>
      </c>
      <c r="D83" s="10">
        <v>2</v>
      </c>
    </row>
  </sheetData>
  <dataConsolidate/>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1025" r:id="rId4" name="CommandButton1">
          <controlPr defaultSize="0" autoLine="0" r:id="rId5">
            <anchor moveWithCells="1">
              <from>
                <xdr:col>4</xdr:col>
                <xdr:colOff>200025</xdr:colOff>
                <xdr:row>8</xdr:row>
                <xdr:rowOff>114300</xdr:rowOff>
              </from>
              <to>
                <xdr:col>5</xdr:col>
                <xdr:colOff>428625</xdr:colOff>
                <xdr:row>10</xdr:row>
                <xdr:rowOff>142875</xdr:rowOff>
              </to>
            </anchor>
          </controlPr>
        </control>
      </mc:Choice>
      <mc:Fallback>
        <control shapeId="1025" r:id="rId4" name="CommandButton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CBD04-FAFA-478A-B738-743807D35E50}">
  <sheetPr codeName="Sheet15">
    <tabColor rgb="FFFFFF00"/>
  </sheetPr>
  <dimension ref="B1:BF123"/>
  <sheetViews>
    <sheetView zoomScale="85" zoomScaleNormal="85" workbookViewId="0">
      <selection activeCell="E5" sqref="E5"/>
    </sheetView>
  </sheetViews>
  <sheetFormatPr defaultRowHeight="15" x14ac:dyDescent="0.25"/>
  <cols>
    <col min="4" max="4" width="32.42578125" customWidth="1"/>
    <col min="5" max="5" width="13.28515625" customWidth="1"/>
  </cols>
  <sheetData>
    <row r="1" spans="2:17" ht="18.75" x14ac:dyDescent="0.3">
      <c r="B1" s="18" t="s">
        <v>98</v>
      </c>
      <c r="C1" s="18"/>
      <c r="D1" s="18"/>
      <c r="E1" s="18"/>
      <c r="F1" s="19"/>
      <c r="G1" s="19"/>
      <c r="H1" s="19"/>
      <c r="I1" s="19"/>
      <c r="J1" s="19"/>
      <c r="K1" s="19"/>
      <c r="L1" s="19"/>
      <c r="M1" s="19"/>
      <c r="N1" s="19"/>
      <c r="O1" s="19"/>
      <c r="P1" s="19"/>
      <c r="Q1" s="19"/>
    </row>
    <row r="2" spans="2:17" ht="18.75" x14ac:dyDescent="0.3">
      <c r="B2" s="20" t="s">
        <v>99</v>
      </c>
      <c r="C2" s="21" t="s">
        <v>100</v>
      </c>
      <c r="D2" s="22"/>
      <c r="E2" s="23" t="str">
        <f>'[1]Growth model'!E2</f>
        <v>Radiata pine</v>
      </c>
      <c r="F2" s="18"/>
      <c r="G2" s="18"/>
      <c r="H2" s="18"/>
      <c r="I2" s="19"/>
      <c r="J2" s="19"/>
      <c r="K2" s="19"/>
      <c r="L2" s="19"/>
      <c r="M2" s="19"/>
      <c r="N2" s="19"/>
      <c r="O2" s="19"/>
      <c r="P2" s="19"/>
      <c r="Q2" s="19"/>
    </row>
    <row r="3" spans="2:17" ht="18.75" x14ac:dyDescent="0.3">
      <c r="B3" s="24"/>
      <c r="C3" s="21" t="s">
        <v>101</v>
      </c>
      <c r="D3" s="22"/>
      <c r="E3" s="25">
        <f>'[1]Growth model'!E3</f>
        <v>35.587950195312501</v>
      </c>
      <c r="F3" s="18"/>
      <c r="G3" s="18"/>
      <c r="H3" s="18"/>
      <c r="I3" s="19"/>
      <c r="J3" s="19"/>
      <c r="K3" s="19"/>
      <c r="L3" s="19"/>
      <c r="M3" s="19"/>
      <c r="N3" s="19"/>
      <c r="O3" s="19"/>
      <c r="P3" s="19"/>
      <c r="Q3" s="19"/>
    </row>
    <row r="4" spans="2:17" ht="18.75" x14ac:dyDescent="0.3">
      <c r="B4" s="24"/>
      <c r="C4" s="21" t="s">
        <v>102</v>
      </c>
      <c r="D4" s="22"/>
      <c r="E4" s="26">
        <f>'[1]Growth model'!E4</f>
        <v>19.946746826171875</v>
      </c>
      <c r="F4" s="18"/>
      <c r="G4" s="18"/>
      <c r="H4" s="18"/>
      <c r="I4" s="19"/>
      <c r="J4" s="19"/>
      <c r="K4" s="19"/>
      <c r="L4" s="19"/>
      <c r="M4" s="19"/>
      <c r="N4" s="19"/>
      <c r="O4" s="19"/>
      <c r="P4" s="19"/>
      <c r="Q4" s="19"/>
    </row>
    <row r="5" spans="2:17" ht="18.75" x14ac:dyDescent="0.3">
      <c r="B5" s="24"/>
      <c r="C5" s="21" t="s">
        <v>103</v>
      </c>
      <c r="D5" s="22"/>
      <c r="E5" s="25">
        <f>[2]Growthmodel!E5</f>
        <v>1200</v>
      </c>
      <c r="F5" s="18"/>
      <c r="G5" s="18"/>
      <c r="H5" s="18"/>
      <c r="I5" s="19"/>
      <c r="J5" s="19"/>
      <c r="K5" s="19"/>
      <c r="L5" s="19"/>
      <c r="M5" s="19"/>
      <c r="N5" s="19"/>
      <c r="O5" s="19"/>
      <c r="P5" s="19"/>
      <c r="Q5" s="19"/>
    </row>
    <row r="6" spans="2:17" ht="18.75" x14ac:dyDescent="0.3">
      <c r="B6" s="24"/>
      <c r="C6" s="21" t="s">
        <v>104</v>
      </c>
      <c r="D6" s="22"/>
      <c r="E6" s="25">
        <f>[2]Growthmodel!E6</f>
        <v>50</v>
      </c>
      <c r="F6" s="18"/>
      <c r="G6" s="18"/>
      <c r="H6" s="18"/>
      <c r="I6" s="19"/>
      <c r="J6" s="19"/>
      <c r="K6" s="19"/>
      <c r="L6" s="19"/>
      <c r="M6" s="19"/>
      <c r="N6" s="19"/>
      <c r="O6" s="19"/>
      <c r="P6" s="19"/>
      <c r="Q6" s="19"/>
    </row>
    <row r="7" spans="2:17" ht="18.75" x14ac:dyDescent="0.3">
      <c r="B7" s="18"/>
      <c r="C7" s="18"/>
      <c r="D7" s="18"/>
      <c r="E7" s="18"/>
      <c r="F7" s="18"/>
      <c r="G7" s="18"/>
      <c r="H7" s="18"/>
      <c r="I7" s="19"/>
      <c r="J7" s="19"/>
      <c r="K7" s="19"/>
      <c r="L7" s="19"/>
      <c r="M7" s="19"/>
      <c r="N7" s="19"/>
      <c r="O7" s="19"/>
      <c r="P7" s="19"/>
      <c r="Q7" s="19"/>
    </row>
    <row r="8" spans="2:17" x14ac:dyDescent="0.25">
      <c r="B8" s="27" t="s">
        <v>105</v>
      </c>
      <c r="C8" s="28"/>
      <c r="D8" s="29"/>
      <c r="E8" s="30" t="s">
        <v>106</v>
      </c>
      <c r="F8" s="30" t="s">
        <v>107</v>
      </c>
      <c r="G8" s="30" t="s">
        <v>108</v>
      </c>
      <c r="H8" s="30" t="s">
        <v>109</v>
      </c>
      <c r="I8" s="19"/>
      <c r="J8" s="27" t="s">
        <v>110</v>
      </c>
      <c r="K8" s="31"/>
      <c r="L8" s="32"/>
      <c r="M8" s="30" t="s">
        <v>111</v>
      </c>
      <c r="N8" s="30" t="s">
        <v>112</v>
      </c>
      <c r="O8" s="30" t="s">
        <v>113</v>
      </c>
      <c r="P8" s="30" t="s">
        <v>114</v>
      </c>
      <c r="Q8" s="19"/>
    </row>
    <row r="9" spans="2:17" x14ac:dyDescent="0.25">
      <c r="B9" s="33"/>
      <c r="C9" s="34"/>
      <c r="D9" s="35" t="s">
        <v>115</v>
      </c>
      <c r="E9" s="35">
        <v>1</v>
      </c>
      <c r="F9" s="35">
        <v>1</v>
      </c>
      <c r="G9" s="35">
        <v>1</v>
      </c>
      <c r="H9" s="35">
        <v>1</v>
      </c>
      <c r="I9" s="19"/>
      <c r="J9" s="33"/>
      <c r="K9" s="31" t="s">
        <v>116</v>
      </c>
      <c r="L9" s="32" t="s">
        <v>117</v>
      </c>
      <c r="M9" s="36"/>
      <c r="N9" s="36"/>
      <c r="O9" s="36"/>
      <c r="P9" s="36"/>
      <c r="Q9" s="19"/>
    </row>
    <row r="10" spans="2:17" x14ac:dyDescent="0.25">
      <c r="B10" s="33"/>
      <c r="C10" s="34"/>
      <c r="D10" s="37"/>
      <c r="E10" s="38">
        <v>1</v>
      </c>
      <c r="F10" s="38"/>
      <c r="G10" s="38"/>
      <c r="H10" s="38"/>
      <c r="I10" s="19"/>
      <c r="J10" s="33"/>
      <c r="K10" s="31" t="s">
        <v>118</v>
      </c>
      <c r="L10" s="32" t="s">
        <v>119</v>
      </c>
      <c r="M10" s="36"/>
      <c r="N10" s="36"/>
      <c r="O10" s="36"/>
      <c r="P10" s="36"/>
      <c r="Q10" s="19"/>
    </row>
    <row r="11" spans="2:17" x14ac:dyDescent="0.25">
      <c r="B11" s="33"/>
      <c r="C11" s="34"/>
      <c r="D11" s="39" t="s">
        <v>117</v>
      </c>
      <c r="E11" s="25"/>
      <c r="F11" s="25"/>
      <c r="G11" s="25"/>
      <c r="H11" s="25"/>
      <c r="I11" s="19"/>
      <c r="J11" s="40"/>
      <c r="K11" s="41" t="s">
        <v>120</v>
      </c>
      <c r="L11" s="42" t="s">
        <v>121</v>
      </c>
      <c r="M11" s="36"/>
      <c r="N11" s="36"/>
      <c r="O11" s="36"/>
      <c r="P11" s="36"/>
      <c r="Q11" s="19"/>
    </row>
    <row r="12" spans="2:17" x14ac:dyDescent="0.25">
      <c r="B12" s="33"/>
      <c r="C12" s="34"/>
      <c r="D12" s="39" t="s">
        <v>119</v>
      </c>
      <c r="E12" s="25"/>
      <c r="F12" s="25"/>
      <c r="G12" s="25"/>
      <c r="H12" s="25"/>
      <c r="I12" s="19"/>
      <c r="J12" s="19"/>
      <c r="K12" s="19"/>
      <c r="L12" s="19"/>
      <c r="M12" s="19"/>
      <c r="N12" s="19"/>
      <c r="O12" s="19"/>
      <c r="P12" s="19"/>
      <c r="Q12" s="19"/>
    </row>
    <row r="13" spans="2:17" x14ac:dyDescent="0.25">
      <c r="B13" s="40"/>
      <c r="C13" s="43"/>
      <c r="D13" s="39" t="s">
        <v>121</v>
      </c>
      <c r="E13" s="25"/>
      <c r="F13" s="25"/>
      <c r="G13" s="25"/>
      <c r="H13" s="25"/>
      <c r="I13" s="19"/>
      <c r="J13" s="19"/>
      <c r="K13" s="19"/>
      <c r="L13" s="19"/>
      <c r="M13" s="19"/>
      <c r="N13" s="19"/>
      <c r="O13" s="19"/>
      <c r="P13" s="19"/>
      <c r="Q13" s="19"/>
    </row>
    <row r="14" spans="2:17" ht="18.75" x14ac:dyDescent="0.3">
      <c r="B14" s="19" t="s">
        <v>122</v>
      </c>
      <c r="C14" s="19"/>
      <c r="D14" s="44"/>
      <c r="E14" s="19" t="s">
        <v>123</v>
      </c>
      <c r="F14" s="19"/>
      <c r="G14" s="19"/>
      <c r="H14" s="19"/>
      <c r="I14" s="19"/>
      <c r="J14" s="19"/>
      <c r="K14" s="19"/>
      <c r="L14" s="19"/>
      <c r="M14" s="19"/>
      <c r="N14" s="19"/>
      <c r="O14" s="19"/>
      <c r="P14" s="19"/>
      <c r="Q14" s="19"/>
    </row>
    <row r="15" spans="2:17" ht="18.75" x14ac:dyDescent="0.3">
      <c r="B15" s="45"/>
      <c r="C15" s="45"/>
      <c r="D15" s="35"/>
      <c r="E15" s="35"/>
      <c r="F15" s="46"/>
      <c r="G15" s="47">
        <v>1</v>
      </c>
      <c r="H15" s="44"/>
      <c r="I15" s="19"/>
      <c r="J15" s="19"/>
      <c r="K15" s="19"/>
      <c r="L15" s="19"/>
      <c r="M15" s="19"/>
      <c r="N15" s="19"/>
      <c r="O15" s="19"/>
      <c r="P15" s="19"/>
      <c r="Q15" s="19"/>
    </row>
    <row r="16" spans="2:17" ht="18.75" x14ac:dyDescent="0.3">
      <c r="B16" s="44"/>
      <c r="C16" s="44"/>
      <c r="D16" s="35">
        <v>2</v>
      </c>
      <c r="E16" s="35">
        <v>1</v>
      </c>
      <c r="F16" s="46"/>
      <c r="G16" s="46"/>
      <c r="H16" s="46"/>
      <c r="I16" s="19"/>
      <c r="J16" s="19"/>
      <c r="K16" s="19"/>
      <c r="L16" s="19"/>
      <c r="M16" s="19"/>
      <c r="N16" s="19"/>
      <c r="O16" s="19"/>
      <c r="P16" s="19"/>
      <c r="Q16" s="19"/>
    </row>
    <row r="17" spans="2:58" ht="18.75" x14ac:dyDescent="0.3">
      <c r="B17" s="18"/>
      <c r="C17" s="18"/>
      <c r="D17" s="35"/>
      <c r="E17" s="35"/>
      <c r="F17" s="46"/>
      <c r="G17" s="46"/>
      <c r="H17" s="46"/>
      <c r="I17" s="19"/>
      <c r="J17" s="19"/>
      <c r="K17" s="19"/>
      <c r="L17" s="19"/>
      <c r="M17" s="19"/>
      <c r="N17" s="19"/>
      <c r="O17" s="19"/>
      <c r="P17" s="19"/>
      <c r="Q17" s="19"/>
    </row>
    <row r="18" spans="2:58" ht="18.75" x14ac:dyDescent="0.3">
      <c r="B18" s="18"/>
      <c r="C18" s="18"/>
      <c r="D18" s="35"/>
      <c r="E18" s="35"/>
      <c r="F18" s="46"/>
      <c r="G18" s="46"/>
      <c r="H18" s="46"/>
      <c r="I18" s="19"/>
      <c r="J18" s="19"/>
      <c r="K18" s="19"/>
      <c r="L18" s="19"/>
      <c r="M18" s="19"/>
      <c r="N18" s="19"/>
      <c r="O18" s="19"/>
      <c r="P18" s="19"/>
      <c r="Q18" s="19"/>
    </row>
    <row r="19" spans="2:58" ht="18.75" x14ac:dyDescent="0.3">
      <c r="B19" s="18"/>
      <c r="C19" s="18"/>
      <c r="D19" s="46"/>
      <c r="E19" s="46"/>
      <c r="F19" s="46"/>
      <c r="G19" s="46"/>
      <c r="H19" s="46"/>
      <c r="I19" s="19"/>
      <c r="J19" s="19"/>
      <c r="K19" s="19"/>
      <c r="L19" s="19"/>
      <c r="M19" s="19"/>
      <c r="N19" s="19"/>
      <c r="O19" s="19"/>
      <c r="P19" s="19"/>
      <c r="Q19" s="19"/>
    </row>
    <row r="20" spans="2:58" ht="18.75" x14ac:dyDescent="0.3">
      <c r="B20" s="48" t="s">
        <v>124</v>
      </c>
      <c r="C20" s="49"/>
      <c r="D20" s="50" t="s">
        <v>125</v>
      </c>
      <c r="E20" s="25">
        <f>'[1]Growth model'!E25</f>
        <v>21.5833333333333</v>
      </c>
      <c r="F20" s="44"/>
      <c r="G20" s="44"/>
      <c r="H20" s="44"/>
      <c r="I20" s="19"/>
      <c r="J20" s="19"/>
      <c r="K20" s="19"/>
      <c r="L20" s="19"/>
      <c r="M20" s="19"/>
      <c r="N20" s="19"/>
      <c r="O20" s="19"/>
      <c r="P20" s="19"/>
      <c r="Q20" s="19"/>
    </row>
    <row r="21" spans="2:58" ht="18.75" x14ac:dyDescent="0.3">
      <c r="B21" s="51"/>
      <c r="C21" s="52"/>
      <c r="D21" s="50" t="s">
        <v>126</v>
      </c>
      <c r="E21" s="25">
        <f>'[1]Growth model'!E26</f>
        <v>300</v>
      </c>
      <c r="F21" s="44"/>
      <c r="G21" s="44"/>
      <c r="H21" s="44"/>
      <c r="I21" s="19"/>
      <c r="J21" s="19"/>
      <c r="K21" s="19"/>
      <c r="L21" s="19"/>
      <c r="M21" s="19"/>
      <c r="N21" s="19"/>
      <c r="O21" s="19"/>
      <c r="P21" s="19"/>
      <c r="Q21" s="19"/>
    </row>
    <row r="22" spans="2:58" ht="18.75" x14ac:dyDescent="0.3">
      <c r="B22" s="51"/>
      <c r="C22" s="52"/>
      <c r="D22" s="50" t="s">
        <v>127</v>
      </c>
      <c r="E22" s="25">
        <f>'[1]Growth model'!E27</f>
        <v>21.324117539741405</v>
      </c>
      <c r="F22" s="35">
        <v>1</v>
      </c>
      <c r="G22" s="44"/>
      <c r="H22" s="44"/>
      <c r="I22" s="19"/>
      <c r="J22" s="19"/>
      <c r="K22" s="19"/>
      <c r="L22" s="19"/>
      <c r="M22" s="19"/>
      <c r="N22" s="19"/>
      <c r="O22" s="19"/>
      <c r="P22" s="19"/>
      <c r="Q22" s="19"/>
    </row>
    <row r="23" spans="2:58" ht="18.75" x14ac:dyDescent="0.3">
      <c r="B23" s="53"/>
      <c r="C23" s="54"/>
      <c r="D23" s="50" t="s">
        <v>128</v>
      </c>
      <c r="E23" s="25">
        <f>'[1]Growth model'!E28</f>
        <v>52.11891740344781</v>
      </c>
      <c r="F23" s="35">
        <v>1</v>
      </c>
      <c r="G23" s="44"/>
      <c r="H23" s="44"/>
      <c r="I23" s="19"/>
      <c r="J23" s="19"/>
      <c r="K23" s="19"/>
      <c r="L23" s="19"/>
      <c r="M23" s="19"/>
      <c r="N23" s="19"/>
      <c r="O23" s="19"/>
      <c r="P23" s="19"/>
      <c r="Q23" s="19"/>
      <c r="AS23">
        <v>0</v>
      </c>
      <c r="AT23">
        <v>1675</v>
      </c>
      <c r="AU23">
        <v>0</v>
      </c>
      <c r="AV23">
        <v>0</v>
      </c>
      <c r="AW23">
        <v>0.25</v>
      </c>
      <c r="AX23">
        <v>1.072E-2</v>
      </c>
      <c r="AY23">
        <v>530.05546319384848</v>
      </c>
      <c r="AZ23">
        <v>0</v>
      </c>
      <c r="BA23">
        <v>1.0940000000000001</v>
      </c>
      <c r="BB23">
        <v>526.42884615384617</v>
      </c>
      <c r="BC23">
        <v>484.511392316132</v>
      </c>
    </row>
    <row r="24" spans="2:58" ht="18.75" x14ac:dyDescent="0.3">
      <c r="B24" s="48" t="s">
        <v>129</v>
      </c>
      <c r="C24" s="49"/>
      <c r="D24" s="55" t="s">
        <v>125</v>
      </c>
      <c r="E24" s="25">
        <f>'[1]Growth model'!E44</f>
        <v>0</v>
      </c>
      <c r="F24" s="44"/>
      <c r="G24" s="44"/>
      <c r="H24" s="44"/>
      <c r="I24" s="19"/>
      <c r="J24" s="19"/>
      <c r="K24" s="19"/>
      <c r="L24" s="19"/>
      <c r="M24" s="19"/>
      <c r="N24" s="19"/>
      <c r="O24" s="19"/>
      <c r="P24" s="19"/>
      <c r="Q24" s="19"/>
      <c r="AS24">
        <v>1</v>
      </c>
      <c r="AT24">
        <v>1675</v>
      </c>
      <c r="AU24">
        <v>1.3437986622619964</v>
      </c>
      <c r="AV24">
        <v>0.23755988237904166</v>
      </c>
      <c r="AW24">
        <v>2.4888128300555783</v>
      </c>
      <c r="AX24">
        <v>0.41012603112915275</v>
      </c>
      <c r="AY24">
        <v>528.98493944226243</v>
      </c>
      <c r="AZ24">
        <v>5.6482412218922806E-3</v>
      </c>
      <c r="BA24">
        <v>1.0919182125451561</v>
      </c>
      <c r="BB24">
        <v>526.42884615384617</v>
      </c>
      <c r="BC24">
        <v>484.45472688769388</v>
      </c>
    </row>
    <row r="25" spans="2:58" ht="18.75" x14ac:dyDescent="0.3">
      <c r="B25" s="53"/>
      <c r="C25" s="54"/>
      <c r="D25" s="55" t="s">
        <v>130</v>
      </c>
      <c r="E25" s="25">
        <f>'[1]Growth model'!E45</f>
        <v>0</v>
      </c>
      <c r="F25" s="44"/>
      <c r="G25" s="44"/>
      <c r="H25" s="44"/>
      <c r="I25" s="19"/>
      <c r="J25" s="19"/>
      <c r="K25" s="19"/>
      <c r="L25" s="19"/>
      <c r="M25" s="19"/>
      <c r="N25" s="19"/>
      <c r="O25" s="19"/>
      <c r="P25" s="19"/>
      <c r="Q25" s="19"/>
      <c r="AS25">
        <v>2</v>
      </c>
      <c r="AT25">
        <v>1675</v>
      </c>
      <c r="AU25">
        <v>2.8829607535249466</v>
      </c>
      <c r="AV25">
        <v>1.0934077637446411</v>
      </c>
      <c r="AW25">
        <v>4.536897030669115</v>
      </c>
      <c r="AX25">
        <v>2.6060680472303002</v>
      </c>
      <c r="AY25">
        <v>505.52549812669537</v>
      </c>
      <c r="AZ25">
        <v>1.0056482412218923</v>
      </c>
      <c r="BA25">
        <v>1.066221882011066</v>
      </c>
      <c r="BB25">
        <v>526.42884615384617</v>
      </c>
      <c r="BC25">
        <v>474.12785899046918</v>
      </c>
    </row>
    <row r="26" spans="2:58" ht="18.399999999999999" customHeight="1" x14ac:dyDescent="0.3">
      <c r="B26" s="56" t="s">
        <v>131</v>
      </c>
      <c r="C26" s="57"/>
      <c r="D26" s="50" t="s">
        <v>132</v>
      </c>
      <c r="E26" s="25">
        <f>IF(ISBLANK('[1]Growth model'!E29),-999,'[1]Growth model'!E29)</f>
        <v>-999</v>
      </c>
      <c r="F26" s="44"/>
      <c r="G26" s="44"/>
      <c r="H26" s="44"/>
      <c r="I26" s="19"/>
      <c r="J26" s="19"/>
      <c r="K26" s="19"/>
      <c r="L26" s="19"/>
      <c r="M26" s="19"/>
      <c r="N26" s="19"/>
      <c r="O26" s="19"/>
      <c r="P26" s="19"/>
      <c r="Q26" s="19"/>
      <c r="AS26">
        <v>3</v>
      </c>
      <c r="AT26">
        <v>1672.7128520884942</v>
      </c>
      <c r="AU26">
        <v>6.2487603353899397</v>
      </c>
      <c r="AV26">
        <v>5.1297832044869018</v>
      </c>
      <c r="AW26">
        <v>6.4888014733908088</v>
      </c>
      <c r="AX26">
        <v>15.438634070560216</v>
      </c>
      <c r="AY26">
        <v>489.62635594593047</v>
      </c>
      <c r="AZ26">
        <v>2.0056482412218921</v>
      </c>
      <c r="BA26">
        <v>1.0547710076728047</v>
      </c>
      <c r="BB26">
        <v>526.42884615384617</v>
      </c>
      <c r="BC26">
        <v>464.20156828752636</v>
      </c>
    </row>
    <row r="27" spans="2:58" ht="18.75" x14ac:dyDescent="0.3">
      <c r="B27" s="57"/>
      <c r="C27" s="57"/>
      <c r="D27" s="50" t="s">
        <v>133</v>
      </c>
      <c r="E27" s="25">
        <f>IF(ISBLANK('[1]Growth model'!E30),-999,'[1]Growth model'!E30)</f>
        <v>-999</v>
      </c>
      <c r="F27" s="44"/>
      <c r="G27" s="44"/>
      <c r="H27" s="44"/>
      <c r="I27" s="19"/>
      <c r="J27" s="19"/>
      <c r="K27" s="19"/>
      <c r="L27" s="19"/>
      <c r="M27" s="19"/>
      <c r="N27" s="19"/>
      <c r="O27" s="19"/>
      <c r="P27" s="19"/>
      <c r="Q27" s="19"/>
      <c r="AS27">
        <v>4</v>
      </c>
      <c r="AT27">
        <v>1667.2696330690483</v>
      </c>
      <c r="AU27">
        <v>9.0676414838158834</v>
      </c>
      <c r="AV27">
        <v>10.766744394304716</v>
      </c>
      <c r="AW27">
        <v>8.364878486305404</v>
      </c>
      <c r="AX27">
        <v>38.883591541225975</v>
      </c>
      <c r="AY27">
        <v>476.76544715684702</v>
      </c>
      <c r="AZ27">
        <v>3.0056482412218921</v>
      </c>
      <c r="BA27">
        <v>1.0459770488307192</v>
      </c>
      <c r="BB27">
        <v>526.42884615384617</v>
      </c>
      <c r="BC27">
        <v>455.80870793466778</v>
      </c>
    </row>
    <row r="28" spans="2:58" ht="18.75" x14ac:dyDescent="0.3">
      <c r="B28" s="57"/>
      <c r="C28" s="57"/>
      <c r="D28" s="55" t="s">
        <v>134</v>
      </c>
      <c r="E28" s="25">
        <f>IF(ISBLANK('[1]Growth model'!E31),-999,'[1]Growth model'!E31)</f>
        <v>-999</v>
      </c>
      <c r="F28" s="44"/>
      <c r="G28" s="44"/>
      <c r="H28" s="44"/>
      <c r="I28" s="19"/>
      <c r="J28" s="19"/>
      <c r="K28" s="19"/>
      <c r="L28" s="19"/>
      <c r="M28" s="19"/>
      <c r="N28" s="19"/>
      <c r="O28" s="19"/>
      <c r="P28" s="19"/>
      <c r="Q28" s="19"/>
      <c r="AS28">
        <v>5</v>
      </c>
      <c r="AT28">
        <v>1658.964707558139</v>
      </c>
      <c r="AU28">
        <v>11.29669648266367</v>
      </c>
      <c r="AV28">
        <v>16.627614577806003</v>
      </c>
      <c r="AW28">
        <v>10.175331981360003</v>
      </c>
      <c r="AX28">
        <v>69.707059010842514</v>
      </c>
      <c r="AY28">
        <v>466.99040132336194</v>
      </c>
      <c r="AZ28">
        <v>4.0056482412218921</v>
      </c>
      <c r="BA28">
        <v>1.038560899727655</v>
      </c>
      <c r="BB28">
        <v>526.42884615384617</v>
      </c>
      <c r="BC28">
        <v>449.65143733585796</v>
      </c>
    </row>
    <row r="29" spans="2:58" ht="18.75" x14ac:dyDescent="0.3">
      <c r="B29" s="57"/>
      <c r="C29" s="57"/>
      <c r="D29" s="55" t="s">
        <v>135</v>
      </c>
      <c r="E29" s="25">
        <f>IF(ISBLANK('[1]Growth model'!E32),-999,'[1]Growth model'!E32)</f>
        <v>-999</v>
      </c>
      <c r="F29" s="46"/>
      <c r="G29" s="46"/>
      <c r="H29" s="46"/>
      <c r="I29" s="19"/>
      <c r="J29" s="19"/>
      <c r="K29" s="19"/>
      <c r="L29" s="19"/>
      <c r="M29" s="19"/>
      <c r="N29" s="19"/>
      <c r="O29" s="19"/>
      <c r="P29" s="19"/>
      <c r="Q29" s="19"/>
      <c r="AS29">
        <v>6</v>
      </c>
      <c r="AT29">
        <v>1647.9124945134081</v>
      </c>
      <c r="AU29">
        <v>13.17361983992202</v>
      </c>
      <c r="AV29">
        <v>22.461268586220502</v>
      </c>
      <c r="AW29">
        <v>11.926591347618938</v>
      </c>
      <c r="AX29">
        <v>106.7820052499022</v>
      </c>
      <c r="AY29">
        <v>460.33177858568376</v>
      </c>
      <c r="AZ29">
        <v>5.0056482412218921</v>
      </c>
      <c r="BA29">
        <v>1.0320259422096056</v>
      </c>
      <c r="BB29">
        <v>526.42884615384617</v>
      </c>
      <c r="BC29">
        <v>446.04671235307944</v>
      </c>
    </row>
    <row r="30" spans="2:58" ht="18.75" x14ac:dyDescent="0.3">
      <c r="B30" s="57"/>
      <c r="C30" s="57"/>
      <c r="D30" s="55" t="s">
        <v>136</v>
      </c>
      <c r="E30" s="25">
        <f>IF(ISBLANK('[1]Growth model'!E33),-999,'[1]Growth model'!E33)</f>
        <v>-999</v>
      </c>
      <c r="F30" s="46"/>
      <c r="G30" s="46"/>
      <c r="H30" s="46"/>
      <c r="I30" s="19"/>
      <c r="J30" s="19"/>
      <c r="K30" s="19"/>
      <c r="L30" s="19"/>
      <c r="M30" s="19"/>
      <c r="N30" s="19"/>
      <c r="O30" s="19"/>
      <c r="P30" s="19"/>
      <c r="Q30" s="19"/>
      <c r="AS30">
        <v>7</v>
      </c>
      <c r="AT30">
        <v>1634.2727491226181</v>
      </c>
      <c r="AU30">
        <v>14.816164478668597</v>
      </c>
      <c r="AV30">
        <v>28.176432283614893</v>
      </c>
      <c r="AW30">
        <v>13.623237085742176</v>
      </c>
      <c r="AX30">
        <v>149.28816204659321</v>
      </c>
      <c r="AY30">
        <v>456.61391458384048</v>
      </c>
      <c r="AZ30">
        <v>6.0056482412218921</v>
      </c>
      <c r="BA30">
        <v>1.0261172051326175</v>
      </c>
      <c r="BB30">
        <v>526.42884615384617</v>
      </c>
      <c r="BC30">
        <v>444.99196807135377</v>
      </c>
    </row>
    <row r="31" spans="2:58" ht="18.75" x14ac:dyDescent="0.3">
      <c r="B31" s="57"/>
      <c r="C31" s="57"/>
      <c r="D31" s="55" t="s">
        <v>137</v>
      </c>
      <c r="E31" s="25">
        <f>IF(ISBLANK('[1]Growth model'!E34),-999,'[1]Growth model'!E34)</f>
        <v>-999</v>
      </c>
      <c r="F31" s="46"/>
      <c r="G31" s="46"/>
      <c r="H31" s="46"/>
      <c r="I31" s="19"/>
      <c r="J31" s="19"/>
      <c r="K31" s="19"/>
      <c r="L31" s="19"/>
      <c r="M31" s="19"/>
      <c r="N31" s="19"/>
      <c r="O31" s="19"/>
      <c r="P31" s="19"/>
      <c r="Q31" s="19"/>
      <c r="AS31">
        <v>8</v>
      </c>
      <c r="AT31">
        <v>1618.2214526233054</v>
      </c>
      <c r="AU31">
        <v>16.299095126935541</v>
      </c>
      <c r="AV31">
        <v>33.764072531280121</v>
      </c>
      <c r="AW31">
        <v>15.268794605928514</v>
      </c>
      <c r="AX31">
        <v>196.71722899259225</v>
      </c>
      <c r="AY31">
        <v>455.47647631340021</v>
      </c>
      <c r="AZ31">
        <v>7.0056482412218921</v>
      </c>
      <c r="BA31">
        <v>1.0206831271874808</v>
      </c>
      <c r="BB31">
        <v>526.42884615384617</v>
      </c>
      <c r="BC31">
        <v>446.24669907934856</v>
      </c>
    </row>
    <row r="32" spans="2:58" ht="18.75" x14ac:dyDescent="0.3">
      <c r="B32" s="57"/>
      <c r="C32" s="57"/>
      <c r="D32" s="58" t="s">
        <v>138</v>
      </c>
      <c r="E32" s="25">
        <f>IF(ISBLANK('[1]Growth model'!E35),-999,'[1]Growth model'!E35)</f>
        <v>-999</v>
      </c>
      <c r="F32" s="46"/>
      <c r="G32" s="46"/>
      <c r="H32" s="46"/>
      <c r="I32" s="19"/>
      <c r="J32" s="19"/>
      <c r="K32" s="19"/>
      <c r="L32" s="19"/>
      <c r="M32" s="19"/>
      <c r="N32" s="19"/>
      <c r="O32" s="19"/>
      <c r="P32" s="19"/>
      <c r="Q32" s="19"/>
      <c r="AS32">
        <v>9</v>
      </c>
      <c r="AT32">
        <v>1599.9486870045616</v>
      </c>
      <c r="AU32">
        <v>17.665248225712908</v>
      </c>
      <c r="AV32">
        <v>39.213483517834824</v>
      </c>
      <c r="AW32">
        <v>16.866123866781873</v>
      </c>
      <c r="AX32">
        <v>248.56064676389823</v>
      </c>
      <c r="AY32">
        <v>456.44182232149114</v>
      </c>
      <c r="AZ32">
        <v>8.005648241221893</v>
      </c>
      <c r="BA32">
        <v>1.0156249157001593</v>
      </c>
      <c r="BB32">
        <v>526.42884615384617</v>
      </c>
      <c r="BC32">
        <v>449.41967774276765</v>
      </c>
      <c r="BD32">
        <v>995.45092995561276</v>
      </c>
      <c r="BE32">
        <v>12.751229099100048</v>
      </c>
      <c r="BF32">
        <v>40.761054288097476</v>
      </c>
    </row>
    <row r="33" spans="2:58" ht="18.75" x14ac:dyDescent="0.3">
      <c r="B33" s="57"/>
      <c r="C33" s="57"/>
      <c r="D33" s="58" t="s">
        <v>139</v>
      </c>
      <c r="E33" s="25">
        <f>IF(ISBLANK('[1]Growth model'!E36),-999,'[1]Growth model'!E36)</f>
        <v>-999</v>
      </c>
      <c r="F33" s="46"/>
      <c r="G33" s="46"/>
      <c r="H33" s="46"/>
      <c r="I33" s="19"/>
      <c r="J33" s="19"/>
      <c r="K33" s="19"/>
      <c r="L33" s="19"/>
      <c r="M33" s="19"/>
      <c r="N33" s="19"/>
      <c r="O33" s="19"/>
      <c r="P33" s="19"/>
      <c r="Q33" s="19"/>
      <c r="AS33">
        <v>10</v>
      </c>
      <c r="AT33">
        <v>1579.6578012869616</v>
      </c>
      <c r="AU33">
        <v>18.941443045345146</v>
      </c>
      <c r="AV33">
        <v>44.512196233171842</v>
      </c>
      <c r="AW33">
        <v>18.417633951017137</v>
      </c>
      <c r="AX33">
        <v>304.30215327873509</v>
      </c>
      <c r="AY33">
        <v>458.98734315190501</v>
      </c>
      <c r="AZ33">
        <v>9.005648241221893</v>
      </c>
      <c r="BA33">
        <v>1.0108739280429591</v>
      </c>
      <c r="BB33">
        <v>526.42884615384617</v>
      </c>
      <c r="BC33">
        <v>454.05003573541512</v>
      </c>
    </row>
    <row r="34" spans="2:58" ht="18.75" x14ac:dyDescent="0.3">
      <c r="B34" s="57"/>
      <c r="C34" s="57"/>
      <c r="D34" s="58" t="s">
        <v>140</v>
      </c>
      <c r="E34" s="25">
        <f>IF(ISBLANK('[1]Growth model'!E37),-999,'[1]Growth model'!E37)</f>
        <v>-999</v>
      </c>
      <c r="F34" s="46"/>
      <c r="G34" s="46"/>
      <c r="H34" s="46"/>
      <c r="I34" s="19"/>
      <c r="J34" s="19"/>
      <c r="K34" s="19"/>
      <c r="L34" s="19"/>
      <c r="M34" s="19"/>
      <c r="N34" s="19"/>
      <c r="O34" s="19"/>
      <c r="P34" s="19"/>
      <c r="Q34" s="19"/>
      <c r="AS34">
        <v>11</v>
      </c>
      <c r="AT34">
        <v>1557.5622410728358</v>
      </c>
      <c r="AU34">
        <v>20.145346688052253</v>
      </c>
      <c r="AV34">
        <v>49.646059463031577</v>
      </c>
      <c r="AW34">
        <v>19.925411400866068</v>
      </c>
      <c r="AX34">
        <v>363.412728663564</v>
      </c>
      <c r="AY34">
        <v>462.60578280084576</v>
      </c>
      <c r="AZ34">
        <v>10.005648241221893</v>
      </c>
      <c r="BA34">
        <v>1.0063801743952481</v>
      </c>
      <c r="BB34">
        <v>526.42884615384617</v>
      </c>
      <c r="BC34">
        <v>459.67298896645485</v>
      </c>
    </row>
    <row r="35" spans="2:58" ht="18.75" x14ac:dyDescent="0.3">
      <c r="B35" s="57"/>
      <c r="C35" s="57"/>
      <c r="D35" s="58" t="s">
        <v>141</v>
      </c>
      <c r="E35" s="25">
        <f>IF(ISBLANK('[1]Growth model'!E38),-999,'[1]Growth model'!E38)</f>
        <v>38.458443634157099</v>
      </c>
      <c r="F35" s="46"/>
      <c r="G35" s="46"/>
      <c r="H35" s="46"/>
      <c r="I35" s="19"/>
      <c r="J35" s="19"/>
      <c r="K35" s="19"/>
      <c r="L35" s="19"/>
      <c r="M35" s="19"/>
      <c r="N35" s="19"/>
      <c r="O35" s="19"/>
      <c r="P35" s="19"/>
      <c r="Q35" s="19"/>
      <c r="AS35">
        <v>12</v>
      </c>
      <c r="AT35">
        <v>1533.8816597044588</v>
      </c>
      <c r="AU35">
        <v>21.288925458605025</v>
      </c>
      <c r="AV35">
        <v>54.599569535731078</v>
      </c>
      <c r="AW35">
        <v>21.391301928295128</v>
      </c>
      <c r="AX35">
        <v>425.34864590083919</v>
      </c>
      <c r="AY35">
        <v>466.84675856464429</v>
      </c>
      <c r="AZ35">
        <v>11.005648241221893</v>
      </c>
      <c r="BA35">
        <v>1.0021059096622251</v>
      </c>
      <c r="BB35">
        <v>526.42884615384617</v>
      </c>
      <c r="BC35">
        <v>465.86568751201361</v>
      </c>
    </row>
    <row r="36" spans="2:58" ht="18.75" x14ac:dyDescent="0.3">
      <c r="B36" s="57"/>
      <c r="C36" s="57"/>
      <c r="D36" s="58" t="s">
        <v>142</v>
      </c>
      <c r="E36" s="25">
        <f>IF(ISBLANK('[1]Growth model'!E39),-999,'[1]Growth model'!E39)</f>
        <v>287.968332326</v>
      </c>
      <c r="F36" s="46"/>
      <c r="G36" s="46"/>
      <c r="H36" s="46"/>
      <c r="I36" s="19"/>
      <c r="J36" s="19"/>
      <c r="K36" s="19"/>
      <c r="L36" s="19"/>
      <c r="M36" s="19"/>
      <c r="N36" s="19"/>
      <c r="O36" s="19"/>
      <c r="P36" s="19"/>
      <c r="Q36" s="19"/>
      <c r="AS36">
        <v>13</v>
      </c>
      <c r="AT36">
        <v>1508.8378928119587</v>
      </c>
      <c r="AU36">
        <v>22.380405193726123</v>
      </c>
      <c r="AV36">
        <v>59.356509483877865</v>
      </c>
      <c r="AW36">
        <v>22.816965067097385</v>
      </c>
      <c r="AX36">
        <v>489.55363821126969</v>
      </c>
      <c r="AY36">
        <v>471.33909058189823</v>
      </c>
      <c r="AZ36">
        <v>12.005648241221893</v>
      </c>
      <c r="BA36">
        <v>0.99802180539827223</v>
      </c>
      <c r="BB36">
        <v>526.42884615384617</v>
      </c>
      <c r="BC36">
        <v>472.27333915194856</v>
      </c>
    </row>
    <row r="37" spans="2:58" ht="18.75" x14ac:dyDescent="0.3">
      <c r="B37" s="57"/>
      <c r="C37" s="57"/>
      <c r="D37" s="58" t="s">
        <v>143</v>
      </c>
      <c r="E37" s="25">
        <f>IF(ISBLANK('[1]Growth model'!E40),-999,'[1]Growth model'!E40)</f>
        <v>7.8669812257952865</v>
      </c>
      <c r="F37" s="46"/>
      <c r="G37" s="46"/>
      <c r="H37" s="46"/>
      <c r="I37" s="19"/>
      <c r="J37" s="19"/>
      <c r="K37" s="19"/>
      <c r="L37" s="19"/>
      <c r="M37" s="19"/>
      <c r="N37" s="19"/>
      <c r="O37" s="19"/>
      <c r="P37" s="19"/>
      <c r="Q37" s="19"/>
      <c r="AS37">
        <v>14</v>
      </c>
      <c r="AT37">
        <v>1482.6510438016014</v>
      </c>
      <c r="AU37">
        <v>23.425512412542172</v>
      </c>
      <c r="AV37">
        <v>63.90090780473588</v>
      </c>
      <c r="AW37">
        <v>24.203912218234251</v>
      </c>
      <c r="AX37">
        <v>555.46599222815018</v>
      </c>
      <c r="AY37">
        <v>475.79728855189694</v>
      </c>
      <c r="AZ37">
        <v>13.005648241221893</v>
      </c>
      <c r="BA37">
        <v>0.99410453544325883</v>
      </c>
      <c r="BB37">
        <v>526.42884615384617</v>
      </c>
      <c r="BC37">
        <v>478.61896972408931</v>
      </c>
    </row>
    <row r="38" spans="2:58" ht="18.75" x14ac:dyDescent="0.3">
      <c r="B38" s="57"/>
      <c r="C38" s="57"/>
      <c r="D38" s="58" t="s">
        <v>144</v>
      </c>
      <c r="E38" s="25">
        <f>IF(ISBLANK('[1]Growth model'!E41),-999,'[1]Growth model'!E41)</f>
        <v>0.67173956123907264</v>
      </c>
      <c r="F38" s="46"/>
      <c r="G38" s="46"/>
      <c r="H38" s="46"/>
      <c r="I38" s="19"/>
      <c r="J38" s="19"/>
      <c r="K38" s="19"/>
      <c r="L38" s="19"/>
      <c r="M38" s="19"/>
      <c r="N38" s="19"/>
      <c r="O38" s="19"/>
      <c r="P38" s="19"/>
      <c r="Q38" s="19"/>
      <c r="AS38">
        <v>15</v>
      </c>
      <c r="AT38">
        <v>1455.5358100699445</v>
      </c>
      <c r="AU38">
        <v>24.428335654201806</v>
      </c>
      <c r="AV38">
        <v>68.21824360046088</v>
      </c>
      <c r="AW38">
        <v>25.553534028814653</v>
      </c>
      <c r="AX38">
        <v>622.53061078232224</v>
      </c>
      <c r="AY38">
        <v>480.01701971134304</v>
      </c>
      <c r="AZ38">
        <v>14.005648241221893</v>
      </c>
      <c r="BA38">
        <v>0.99033518514458663</v>
      </c>
      <c r="BB38">
        <v>526.42884615384617</v>
      </c>
      <c r="BC38">
        <v>484.70157065182093</v>
      </c>
    </row>
    <row r="39" spans="2:58" ht="18.75" x14ac:dyDescent="0.3">
      <c r="B39" s="57"/>
      <c r="C39" s="57"/>
      <c r="D39" s="58" t="s">
        <v>145</v>
      </c>
      <c r="E39" s="25">
        <f>IF(ISBLANK('[1]Growth model'!E42),-999,'[1]Growth model'!E42)</f>
        <v>12.406562990499999</v>
      </c>
      <c r="F39" s="46"/>
      <c r="G39" s="46"/>
      <c r="H39" s="46"/>
      <c r="I39" s="19"/>
      <c r="J39" s="19"/>
      <c r="K39" s="19"/>
      <c r="L39" s="19"/>
      <c r="M39" s="19"/>
      <c r="N39" s="19"/>
      <c r="O39" s="19"/>
      <c r="P39" s="19"/>
      <c r="Q39" s="19"/>
      <c r="AS39">
        <v>16</v>
      </c>
      <c r="AT39">
        <v>1427.6981458212692</v>
      </c>
      <c r="AU39">
        <v>25.39195788265846</v>
      </c>
      <c r="AV39">
        <v>72.296730079426112</v>
      </c>
      <c r="AW39">
        <v>26.867120656720736</v>
      </c>
      <c r="AX39">
        <v>690.21487993151175</v>
      </c>
      <c r="AY39">
        <v>483.86425837168395</v>
      </c>
      <c r="AZ39">
        <v>15.005648241221893</v>
      </c>
      <c r="BA39">
        <v>0.98669816479198913</v>
      </c>
      <c r="BB39">
        <v>526.42884615384617</v>
      </c>
      <c r="BC39">
        <v>490.387309551437</v>
      </c>
    </row>
    <row r="40" spans="2:58" ht="18.75" x14ac:dyDescent="0.3">
      <c r="B40" s="57"/>
      <c r="C40" s="57"/>
      <c r="D40" s="58" t="s">
        <v>146</v>
      </c>
      <c r="E40" s="25">
        <f>IF(ISBLANK('[1]Growth model'!E43),-999,'[1]Growth model'!E43)</f>
        <v>-999</v>
      </c>
      <c r="F40" s="46"/>
      <c r="G40" s="46"/>
      <c r="H40" s="46"/>
      <c r="I40" s="19"/>
      <c r="J40" s="19"/>
      <c r="K40" s="19"/>
      <c r="L40" s="19"/>
      <c r="M40" s="19"/>
      <c r="N40" s="19"/>
      <c r="O40" s="19"/>
      <c r="P40" s="19"/>
      <c r="Q40" s="19"/>
      <c r="AS40">
        <v>17</v>
      </c>
      <c r="AT40">
        <v>1399.3323571860853</v>
      </c>
      <c r="AU40">
        <v>26.318921864376492</v>
      </c>
      <c r="AV40">
        <v>76.128442975023674</v>
      </c>
      <c r="AW40">
        <v>28.145877136361747</v>
      </c>
      <c r="AX40">
        <v>758.02593334128017</v>
      </c>
      <c r="AY40">
        <v>487.26184957216606</v>
      </c>
      <c r="AZ40">
        <v>16.005648241221891</v>
      </c>
      <c r="BA40">
        <v>0.98318044469044674</v>
      </c>
      <c r="BB40">
        <v>526.42884615384617</v>
      </c>
      <c r="BC40">
        <v>495.59758048847272</v>
      </c>
    </row>
    <row r="41" spans="2:58" x14ac:dyDescent="0.25">
      <c r="AS41">
        <v>18</v>
      </c>
      <c r="AT41">
        <v>1370.6187292084844</v>
      </c>
      <c r="AU41">
        <v>27.211551833315227</v>
      </c>
      <c r="AV41">
        <v>79.710064894794215</v>
      </c>
      <c r="AW41">
        <v>29.390935277702546</v>
      </c>
      <c r="AX41">
        <v>825.52621756640985</v>
      </c>
      <c r="AY41">
        <v>490.17601477750833</v>
      </c>
      <c r="AZ41">
        <v>17.005648241221891</v>
      </c>
      <c r="BA41">
        <v>0.97977100263502648</v>
      </c>
      <c r="BB41">
        <v>526.42884615384617</v>
      </c>
      <c r="BC41">
        <v>500.29651159221265</v>
      </c>
    </row>
    <row r="42" spans="2:58" x14ac:dyDescent="0.25">
      <c r="AS42">
        <v>19</v>
      </c>
      <c r="AT42">
        <v>1341.7217717972092</v>
      </c>
      <c r="AU42">
        <v>28.07214562637963</v>
      </c>
      <c r="AV42">
        <v>83.043102230054274</v>
      </c>
      <c r="AW42">
        <v>30.603363053195334</v>
      </c>
      <c r="AX42">
        <v>892.3445435499674</v>
      </c>
      <c r="AY42">
        <v>492.60424837778118</v>
      </c>
      <c r="AZ42">
        <v>18.005648241221891</v>
      </c>
      <c r="BA42">
        <v>0.97646041586339039</v>
      </c>
      <c r="BB42">
        <v>526.42884615384617</v>
      </c>
      <c r="BC42">
        <v>504.47948567604601</v>
      </c>
    </row>
    <row r="43" spans="2:58" x14ac:dyDescent="0.25">
      <c r="AS43">
        <v>20</v>
      </c>
      <c r="AT43">
        <v>1312.7891347394111</v>
      </c>
      <c r="AU43">
        <v>28.903057464278003</v>
      </c>
      <c r="AV43">
        <v>86.133565990206634</v>
      </c>
      <c r="AW43">
        <v>31.78417212613288</v>
      </c>
      <c r="AX43">
        <v>958.18100443524088</v>
      </c>
      <c r="AY43">
        <v>494.56524751690972</v>
      </c>
      <c r="AZ43">
        <v>19.005648241221891</v>
      </c>
      <c r="BA43">
        <v>0.97324055383115105</v>
      </c>
      <c r="BB43">
        <v>526.42884615384617</v>
      </c>
      <c r="BC43">
        <v>508.16341917736463</v>
      </c>
    </row>
    <row r="44" spans="2:58" x14ac:dyDescent="0.25">
      <c r="AS44">
        <v>21</v>
      </c>
      <c r="AT44">
        <v>1283.9511865257234</v>
      </c>
      <c r="AU44">
        <v>29.706700444549476</v>
      </c>
      <c r="AV44">
        <v>88.991233837298864</v>
      </c>
      <c r="AW44">
        <v>32.934323978391397</v>
      </c>
      <c r="AX44">
        <v>1022.805718361165</v>
      </c>
      <c r="AY44">
        <v>496.09099513659328</v>
      </c>
      <c r="AZ44">
        <v>20.005648241221891</v>
      </c>
      <c r="BA44">
        <v>0.97010434293726389</v>
      </c>
      <c r="BB44">
        <v>526.42884615384617</v>
      </c>
      <c r="BC44">
        <v>511.37900654535594</v>
      </c>
      <c r="BD44">
        <v>899.96705491178966</v>
      </c>
      <c r="BE44">
        <v>28.476425322333583</v>
      </c>
      <c r="BF44">
        <v>503.94472067279094</v>
      </c>
    </row>
    <row r="45" spans="2:58" x14ac:dyDescent="0.25">
      <c r="AS45">
        <v>22</v>
      </c>
      <c r="AT45">
        <v>1200</v>
      </c>
      <c r="AU45">
        <v>30.725416402577427</v>
      </c>
      <c r="AV45">
        <v>88.97473067198753</v>
      </c>
      <c r="AW45">
        <v>34.054734965203984</v>
      </c>
      <c r="AX45">
        <v>1054.5960376840935</v>
      </c>
      <c r="AY45">
        <v>497.22082370998061</v>
      </c>
      <c r="AZ45">
        <v>21.005648241221891</v>
      </c>
      <c r="BA45">
        <v>0.96704558361755544</v>
      </c>
      <c r="BB45">
        <v>526.42884615384617</v>
      </c>
      <c r="BC45">
        <v>514.16482545730764</v>
      </c>
      <c r="BD45">
        <v>1255.3211938241593</v>
      </c>
      <c r="BE45">
        <v>30.485501545816618</v>
      </c>
      <c r="BF45">
        <v>1086.052662315275</v>
      </c>
    </row>
    <row r="46" spans="2:58" x14ac:dyDescent="0.25">
      <c r="AS46">
        <v>23</v>
      </c>
      <c r="AT46">
        <v>1176.5875041879983</v>
      </c>
      <c r="AU46">
        <v>31.248410348191598</v>
      </c>
      <c r="AV46">
        <v>90.233950438009089</v>
      </c>
      <c r="AW46">
        <v>35.146280535730234</v>
      </c>
      <c r="AX46">
        <v>1101.1182916964881</v>
      </c>
      <c r="AY46">
        <v>497.99715554627863</v>
      </c>
      <c r="AZ46">
        <v>22.005648241221891</v>
      </c>
      <c r="BA46">
        <v>0.9640588062275588</v>
      </c>
      <c r="BB46">
        <v>526.42884615384617</v>
      </c>
      <c r="BC46">
        <v>516.56304815572651</v>
      </c>
    </row>
    <row r="47" spans="2:58" x14ac:dyDescent="0.25">
      <c r="AS47">
        <v>24</v>
      </c>
      <c r="AT47">
        <v>1151.40515683536</v>
      </c>
      <c r="AU47">
        <v>31.884238028918304</v>
      </c>
      <c r="AV47">
        <v>91.932725752889354</v>
      </c>
      <c r="AW47">
        <v>36.209798796325664</v>
      </c>
      <c r="AX47">
        <v>1153.2136226397006</v>
      </c>
      <c r="AY47">
        <v>498.46258332015321</v>
      </c>
      <c r="AZ47">
        <v>23.005648241221891</v>
      </c>
      <c r="BA47">
        <v>0.96113915611058642</v>
      </c>
      <c r="BB47">
        <v>526.42884615384617</v>
      </c>
      <c r="BC47">
        <v>518.61645647365685</v>
      </c>
    </row>
    <row r="48" spans="2:58" x14ac:dyDescent="0.25">
      <c r="AS48">
        <v>25</v>
      </c>
      <c r="AT48">
        <v>1126.6147284669571</v>
      </c>
      <c r="AU48">
        <v>32.535942256435327</v>
      </c>
      <c r="AV48">
        <v>93.668180288072108</v>
      </c>
      <c r="AW48">
        <v>37.246093549554814</v>
      </c>
      <c r="AX48">
        <v>1206.1227081521836</v>
      </c>
      <c r="AY48">
        <v>498.65797610842861</v>
      </c>
      <c r="AZ48">
        <v>24.005648241221891</v>
      </c>
      <c r="BA48">
        <v>0.95828230093680811</v>
      </c>
      <c r="BB48">
        <v>526.42884615384617</v>
      </c>
      <c r="BC48">
        <v>520.36646781532443</v>
      </c>
    </row>
    <row r="49" spans="45:58" x14ac:dyDescent="0.25">
      <c r="AS49">
        <v>26</v>
      </c>
      <c r="AT49">
        <v>1102.2387038343375</v>
      </c>
      <c r="AU49">
        <v>33.195699038206854</v>
      </c>
      <c r="AV49">
        <v>95.395782572041824</v>
      </c>
      <c r="AW49">
        <v>38.255936910374317</v>
      </c>
      <c r="AX49">
        <v>1259.2724629279101</v>
      </c>
      <c r="AY49">
        <v>498.62134184149818</v>
      </c>
      <c r="AZ49">
        <v>25.005648241221891</v>
      </c>
      <c r="BA49">
        <v>0.95548435525541842</v>
      </c>
      <c r="BB49">
        <v>526.42884615384617</v>
      </c>
      <c r="BC49">
        <v>521.85191635943386</v>
      </c>
    </row>
    <row r="50" spans="45:58" x14ac:dyDescent="0.25">
      <c r="AS50">
        <v>27</v>
      </c>
      <c r="AT50">
        <v>1078.3006373442188</v>
      </c>
      <c r="AU50">
        <v>33.858052122666436</v>
      </c>
      <c r="AV50">
        <v>97.085345777051984</v>
      </c>
      <c r="AW50">
        <v>39.2400715777719</v>
      </c>
      <c r="AX50">
        <v>1312.2264031972211</v>
      </c>
      <c r="AY50">
        <v>498.38722906612367</v>
      </c>
      <c r="AZ50">
        <v>26.005648241221891</v>
      </c>
      <c r="BA50">
        <v>0.95274181850594597</v>
      </c>
      <c r="BB50">
        <v>526.42884615384617</v>
      </c>
      <c r="BC50">
        <v>523.10837982075338</v>
      </c>
    </row>
    <row r="51" spans="45:58" x14ac:dyDescent="0.25">
      <c r="AS51">
        <v>28</v>
      </c>
      <c r="AT51">
        <v>1054.8229937492267</v>
      </c>
      <c r="AU51">
        <v>34.51926841944033</v>
      </c>
      <c r="AV51">
        <v>98.717156122992421</v>
      </c>
      <c r="AW51">
        <v>40.199212822977564</v>
      </c>
      <c r="AX51">
        <v>1364.6568323022786</v>
      </c>
      <c r="AY51">
        <v>497.98650002200122</v>
      </c>
      <c r="AZ51">
        <v>27.005648241221891</v>
      </c>
      <c r="BA51">
        <v>0.95005152366555901</v>
      </c>
      <c r="BB51">
        <v>526.42884615384617</v>
      </c>
      <c r="BC51">
        <v>524.16788733797603</v>
      </c>
      <c r="BD51">
        <v>480.83835743985799</v>
      </c>
      <c r="BE51">
        <v>36.838434270073087</v>
      </c>
      <c r="BF51">
        <v>554.32520731641955</v>
      </c>
    </row>
    <row r="52" spans="45:58" x14ac:dyDescent="0.25">
      <c r="AS52">
        <v>29</v>
      </c>
      <c r="AT52">
        <v>1031.8258280179837</v>
      </c>
      <c r="AU52">
        <v>35.176856324374803</v>
      </c>
      <c r="AV52">
        <v>100.27907653732821</v>
      </c>
      <c r="AW52">
        <v>41.134050242459431</v>
      </c>
      <c r="AX52">
        <v>1416.3219539019294</v>
      </c>
      <c r="AY52">
        <v>497.44634922125812</v>
      </c>
      <c r="AZ52">
        <v>28.005648241221891</v>
      </c>
      <c r="BA52">
        <v>0.94741059438347153</v>
      </c>
      <c r="BB52">
        <v>526.42884615384617</v>
      </c>
      <c r="BC52">
        <v>525.05888383586409</v>
      </c>
    </row>
    <row r="53" spans="45:58" x14ac:dyDescent="0.25">
      <c r="AS53">
        <v>30</v>
      </c>
      <c r="AT53">
        <v>1009.3260588549819</v>
      </c>
      <c r="AU53">
        <v>35.829211900848101</v>
      </c>
      <c r="AV53">
        <v>101.76440049692684</v>
      </c>
      <c r="AW53">
        <v>42.045249314107522</v>
      </c>
      <c r="AX53">
        <v>1467.0474001953755</v>
      </c>
      <c r="AY53">
        <v>496.79047590949358</v>
      </c>
      <c r="AZ53">
        <v>29.005648241221891</v>
      </c>
      <c r="BA53">
        <v>0.94481640894854713</v>
      </c>
      <c r="BB53">
        <v>526.42884615384617</v>
      </c>
      <c r="BC53">
        <v>525.80635899661627</v>
      </c>
    </row>
    <row r="54" spans="45:58" x14ac:dyDescent="0.25">
      <c r="AS54">
        <v>31</v>
      </c>
      <c r="AT54">
        <v>987.33715166701882</v>
      </c>
      <c r="AU54">
        <v>36.475359768984042</v>
      </c>
      <c r="AV54">
        <v>103.17026088774253</v>
      </c>
      <c r="AW54">
        <v>42.93345278747033</v>
      </c>
      <c r="AX54">
        <v>1516.7113344901061</v>
      </c>
      <c r="AY54">
        <v>496.03934540366924</v>
      </c>
      <c r="AZ54">
        <v>30.005648241221891</v>
      </c>
      <c r="BA54">
        <v>0.94226656980412282</v>
      </c>
      <c r="BB54">
        <v>526.42884615384617</v>
      </c>
      <c r="BC54">
        <v>526.43207484988591</v>
      </c>
    </row>
    <row r="55" spans="45:58" x14ac:dyDescent="0.25">
      <c r="AS55">
        <v>32</v>
      </c>
      <c r="AT55">
        <v>965.86907622964077</v>
      </c>
      <c r="AU55">
        <v>37.114763585787827</v>
      </c>
      <c r="AV55">
        <v>104.49645082959525</v>
      </c>
      <c r="AW55">
        <v>43.799281933058211</v>
      </c>
      <c r="AX55">
        <v>1565.2324454631828</v>
      </c>
      <c r="AY55">
        <v>495.21049440905972</v>
      </c>
      <c r="AZ55">
        <v>31.005648241221891</v>
      </c>
      <c r="BA55">
        <v>0.93975887760066346</v>
      </c>
      <c r="BB55">
        <v>526.42884615384617</v>
      </c>
      <c r="BC55">
        <v>526.9548457721429</v>
      </c>
    </row>
    <row r="56" spans="45:58" x14ac:dyDescent="0.25">
      <c r="AS56">
        <v>33</v>
      </c>
      <c r="AT56">
        <v>944.92844157898503</v>
      </c>
      <c r="AU56">
        <v>37.747187898923023</v>
      </c>
      <c r="AV56">
        <v>105.74455365673968</v>
      </c>
      <c r="AW56">
        <v>44.643337671143996</v>
      </c>
      <c r="AX56">
        <v>1612.5603186963951</v>
      </c>
      <c r="AY56">
        <v>494.31885024232525</v>
      </c>
      <c r="AZ56">
        <v>32.005648241221891</v>
      </c>
      <c r="BA56">
        <v>0.93729130898700252</v>
      </c>
      <c r="BB56">
        <v>526.42884615384617</v>
      </c>
      <c r="BC56">
        <v>527.39083943557614</v>
      </c>
    </row>
    <row r="57" spans="45:58" x14ac:dyDescent="0.25">
      <c r="AS57">
        <v>34</v>
      </c>
      <c r="AT57">
        <v>924.51873840629241</v>
      </c>
      <c r="AU57">
        <v>38.372598110503894</v>
      </c>
      <c r="AV57">
        <v>106.91730658926323</v>
      </c>
      <c r="AW57">
        <v>45.466201596870363</v>
      </c>
      <c r="AX57">
        <v>1658.66778055349</v>
      </c>
      <c r="AY57">
        <v>493.37704458926152</v>
      </c>
      <c r="AZ57">
        <v>33.005648241221891</v>
      </c>
      <c r="BA57">
        <v>0.9348619975021456</v>
      </c>
      <c r="BB57">
        <v>526.42884615384617</v>
      </c>
      <c r="BC57">
        <v>527.75387801356123</v>
      </c>
    </row>
    <row r="58" spans="45:58" x14ac:dyDescent="0.25">
      <c r="AS58">
        <v>35</v>
      </c>
      <c r="AT58">
        <v>904.63935130561231</v>
      </c>
      <c r="AU58">
        <v>38.995892292794778</v>
      </c>
      <c r="AV58">
        <v>108.04460376596583</v>
      </c>
      <c r="AW58">
        <v>46.268436915588524</v>
      </c>
      <c r="AX58">
        <v>1703.96221493446</v>
      </c>
      <c r="AY58">
        <v>492.39570999738925</v>
      </c>
      <c r="AZ58">
        <v>34.005648241221891</v>
      </c>
      <c r="BA58">
        <v>0.93246921705443531</v>
      </c>
      <c r="BB58">
        <v>526.42884615384617</v>
      </c>
      <c r="BC58">
        <v>528.05572665745638</v>
      </c>
      <c r="BD58">
        <v>244.91085595241512</v>
      </c>
      <c r="BE58">
        <v>46.686837415823497</v>
      </c>
      <c r="BF58">
        <v>519.55176217350595</v>
      </c>
    </row>
    <row r="59" spans="45:58" x14ac:dyDescent="0.25">
      <c r="AS59">
        <v>36</v>
      </c>
      <c r="AT59">
        <v>885.28768223629481</v>
      </c>
      <c r="AU59">
        <v>39.611080371199137</v>
      </c>
      <c r="AV59">
        <v>109.09571133321377</v>
      </c>
      <c r="AW59">
        <v>47.050589300038141</v>
      </c>
      <c r="AX59">
        <v>1747.9128367909482</v>
      </c>
      <c r="AY59">
        <v>491.3837525504191</v>
      </c>
      <c r="AZ59">
        <v>35.005648241221891</v>
      </c>
      <c r="BA59">
        <v>0.93011136757234469</v>
      </c>
      <c r="BB59">
        <v>526.42884615384617</v>
      </c>
      <c r="BC59">
        <v>528.30636167039313</v>
      </c>
    </row>
    <row r="60" spans="45:58" x14ac:dyDescent="0.25">
      <c r="AS60">
        <v>37</v>
      </c>
      <c r="AT60">
        <v>866.46063126246383</v>
      </c>
      <c r="AU60">
        <v>40.218752724530823</v>
      </c>
      <c r="AV60">
        <v>110.07682947377496</v>
      </c>
      <c r="AW60">
        <v>47.813187679107166</v>
      </c>
      <c r="AX60">
        <v>1790.5615111972804</v>
      </c>
      <c r="AY60">
        <v>490.34859772257226</v>
      </c>
      <c r="AZ60">
        <v>36.005648241221891</v>
      </c>
      <c r="BA60">
        <v>0.92778696248787484</v>
      </c>
      <c r="BB60">
        <v>526.42884615384617</v>
      </c>
      <c r="BC60">
        <v>528.5142145215051</v>
      </c>
    </row>
    <row r="61" spans="45:58" x14ac:dyDescent="0.25">
      <c r="AS61">
        <v>38</v>
      </c>
      <c r="AT61">
        <v>848.15295743557124</v>
      </c>
      <c r="AU61">
        <v>40.819417490741088</v>
      </c>
      <c r="AV61">
        <v>110.99353105040093</v>
      </c>
      <c r="AW61">
        <v>48.556744966388244</v>
      </c>
      <c r="AX61">
        <v>1831.9486501215065</v>
      </c>
      <c r="AY61">
        <v>489.29640874415054</v>
      </c>
      <c r="AZ61">
        <v>37.005648241221891</v>
      </c>
      <c r="BA61">
        <v>0.9254946177743657</v>
      </c>
      <c r="BB61">
        <v>526.42884615384617</v>
      </c>
      <c r="BC61">
        <v>528.68639033343391</v>
      </c>
    </row>
    <row r="62" spans="45:58" x14ac:dyDescent="0.25">
      <c r="AS62">
        <v>39</v>
      </c>
      <c r="AT62">
        <v>830.35766276612549</v>
      </c>
      <c r="AU62">
        <v>41.413511425749199</v>
      </c>
      <c r="AV62">
        <v>111.85082465505739</v>
      </c>
      <c r="AW62">
        <v>49.281758735501519</v>
      </c>
      <c r="AX62">
        <v>1872.1130431694824</v>
      </c>
      <c r="AY62">
        <v>488.23227828244984</v>
      </c>
      <c r="AZ62">
        <v>38.005648241221891</v>
      </c>
      <c r="BA62">
        <v>0.92323304230909564</v>
      </c>
      <c r="BB62">
        <v>526.42884615384617</v>
      </c>
      <c r="BC62">
        <v>528.82886108726507</v>
      </c>
    </row>
    <row r="63" spans="45:58" x14ac:dyDescent="0.25">
      <c r="AS63">
        <v>40</v>
      </c>
      <c r="AT63">
        <v>813.06632386521335</v>
      </c>
      <c r="AU63">
        <v>42.001409511393021</v>
      </c>
      <c r="AV63">
        <v>112.65321353309439</v>
      </c>
      <c r="AW63">
        <v>49.988711848127522</v>
      </c>
      <c r="AX63">
        <v>1911.091783005628</v>
      </c>
      <c r="AY63">
        <v>487.16039511613207</v>
      </c>
      <c r="AZ63">
        <v>39.005648241221891</v>
      </c>
      <c r="BA63">
        <v>0.92100102937009387</v>
      </c>
      <c r="BB63">
        <v>526.42884615384617</v>
      </c>
      <c r="BC63">
        <v>528.94663478206837</v>
      </c>
      <c r="BD63">
        <v>187.68618560291142</v>
      </c>
      <c r="BE63">
        <v>52.337712816381412</v>
      </c>
      <c r="BF63">
        <v>542.72452400709437</v>
      </c>
    </row>
    <row r="64" spans="45:58" x14ac:dyDescent="0.25">
      <c r="AS64">
        <v>41</v>
      </c>
      <c r="AT64">
        <v>796.26937725962989</v>
      </c>
      <c r="AU64">
        <v>42.583433371973655</v>
      </c>
      <c r="AV64">
        <v>113.40474963299245</v>
      </c>
      <c r="AW64">
        <v>50.678073039843099</v>
      </c>
      <c r="AX64">
        <v>1948.920254196481</v>
      </c>
      <c r="AY64">
        <v>486.08418794632104</v>
      </c>
      <c r="AZ64">
        <v>40.005648241221891</v>
      </c>
      <c r="BA64">
        <v>0.91879744910816197</v>
      </c>
      <c r="BB64">
        <v>526.42884615384617</v>
      </c>
      <c r="BC64">
        <v>529.04390235099424</v>
      </c>
    </row>
    <row r="65" spans="45:55" x14ac:dyDescent="0.25">
      <c r="AS65">
        <v>42</v>
      </c>
      <c r="AT65">
        <v>779.95636394965891</v>
      </c>
      <c r="AU65">
        <v>43.159858593434777</v>
      </c>
      <c r="AV65">
        <v>114.10908254477283</v>
      </c>
      <c r="AW65">
        <v>51.35029746814552</v>
      </c>
      <c r="AX65">
        <v>1985.6321632647443</v>
      </c>
      <c r="AY65">
        <v>485.00644867990115</v>
      </c>
      <c r="AZ65">
        <v>41.005648241221891</v>
      </c>
      <c r="BA65">
        <v>0.91662124186079352</v>
      </c>
      <c r="BB65">
        <v>526.42884615384617</v>
      </c>
      <c r="BC65">
        <v>529.12416440983884</v>
      </c>
    </row>
    <row r="66" spans="45:55" x14ac:dyDescent="0.25">
      <c r="AS66">
        <v>43</v>
      </c>
      <c r="AT66">
        <v>764.11613828498071</v>
      </c>
      <c r="AU66">
        <v>43.730921054396035</v>
      </c>
      <c r="AV66">
        <v>114.76950340772338</v>
      </c>
      <c r="AW66">
        <v>52.005827226457356</v>
      </c>
      <c r="AX66">
        <v>2021.2595943627166</v>
      </c>
      <c r="AY66">
        <v>483.92943753586189</v>
      </c>
      <c r="AZ66">
        <v>42.005648241221891</v>
      </c>
      <c r="BA66">
        <v>0.91447141219569761</v>
      </c>
      <c r="BB66">
        <v>526.42884615384617</v>
      </c>
      <c r="BC66">
        <v>529.19033999534213</v>
      </c>
    </row>
    <row r="67" spans="45:55" x14ac:dyDescent="0.25">
      <c r="AS67">
        <v>44</v>
      </c>
      <c r="AT67">
        <v>748.73704572584506</v>
      </c>
      <c r="AU67">
        <v>44.296822381312829</v>
      </c>
      <c r="AV67">
        <v>115.38898405318652</v>
      </c>
      <c r="AW67">
        <v>52.645091827406155</v>
      </c>
      <c r="AX67">
        <v>2055.8330797627927</v>
      </c>
      <c r="AY67">
        <v>482.85497223122297</v>
      </c>
      <c r="AZ67">
        <v>43.005648241221891</v>
      </c>
      <c r="BA67">
        <v>0.91234702358891251</v>
      </c>
      <c r="BB67">
        <v>526.42884615384617</v>
      </c>
      <c r="BC67">
        <v>529.24485940865952</v>
      </c>
    </row>
    <row r="68" spans="45:55" x14ac:dyDescent="0.25">
      <c r="AS68">
        <v>45</v>
      </c>
      <c r="AT68">
        <v>733.80707356067455</v>
      </c>
      <c r="AU68">
        <v>44.857734635922206</v>
      </c>
      <c r="AV68">
        <v>115.97021174548348</v>
      </c>
      <c r="AW68">
        <v>53.268508658252301</v>
      </c>
      <c r="AX68">
        <v>2089.3816777909442</v>
      </c>
      <c r="AY68">
        <v>481.784503345313</v>
      </c>
      <c r="AZ68">
        <v>44.005648241221891</v>
      </c>
      <c r="BA68">
        <v>0.91024719365678486</v>
      </c>
      <c r="BB68">
        <v>526.42884615384617</v>
      </c>
      <c r="BC68">
        <v>529.28974316285917</v>
      </c>
    </row>
    <row r="69" spans="45:55" x14ac:dyDescent="0.25">
      <c r="AS69">
        <v>46</v>
      </c>
      <c r="AT69">
        <v>719.31397818345215</v>
      </c>
      <c r="AU69">
        <v>45.413804335140512</v>
      </c>
      <c r="AV69">
        <v>116.51561992482287</v>
      </c>
      <c r="AW69">
        <v>53.876483410980605</v>
      </c>
      <c r="AX69">
        <v>2121.9330532613844</v>
      </c>
      <c r="AY69">
        <v>480.71917777124145</v>
      </c>
      <c r="AZ69">
        <v>45.005648241221891</v>
      </c>
      <c r="BA69">
        <v>0.90817108987295025</v>
      </c>
      <c r="BB69">
        <v>526.42884615384617</v>
      </c>
      <c r="BC69">
        <v>529.32666887523612</v>
      </c>
    </row>
    <row r="70" spans="45:55" x14ac:dyDescent="0.25">
      <c r="AS70">
        <v>47</v>
      </c>
      <c r="AT70">
        <v>705.24539210282467</v>
      </c>
      <c r="AU70">
        <v>45.965155893805651</v>
      </c>
      <c r="AV70">
        <v>117.02741536160427</v>
      </c>
      <c r="AW70">
        <v>54.469410489267659</v>
      </c>
      <c r="AX70">
        <v>2153.5135571815927</v>
      </c>
      <c r="AY70">
        <v>479.65989196199132</v>
      </c>
      <c r="AZ70">
        <v>46.005648241221891</v>
      </c>
      <c r="BA70">
        <v>0.90611792571134653</v>
      </c>
      <c r="BB70">
        <v>526.42884615384617</v>
      </c>
      <c r="BC70">
        <v>529.35702776814071</v>
      </c>
    </row>
    <row r="71" spans="45:55" x14ac:dyDescent="0.25">
      <c r="AS71">
        <v>48</v>
      </c>
      <c r="AT71">
        <v>691.58891346326209</v>
      </c>
      <c r="AU71">
        <v>46.511894570401999</v>
      </c>
      <c r="AV71">
        <v>117.50760211619084</v>
      </c>
      <c r="AW71">
        <v>55.047673394275485</v>
      </c>
      <c r="AX71">
        <v>2184.1483036896298</v>
      </c>
      <c r="AY71">
        <v>478.60733647890061</v>
      </c>
      <c r="AZ71">
        <v>47.005648241221891</v>
      </c>
      <c r="BA71">
        <v>0.90408695716458254</v>
      </c>
      <c r="BB71">
        <v>526.42884615384617</v>
      </c>
      <c r="BC71">
        <v>529.38197226063244</v>
      </c>
    </row>
    <row r="72" spans="45:55" x14ac:dyDescent="0.25">
      <c r="AS72">
        <v>49</v>
      </c>
      <c r="AT72">
        <v>678.33218050719245</v>
      </c>
      <c r="AU72">
        <v>47.054108985930711</v>
      </c>
      <c r="AV72">
        <v>117.95800267140217</v>
      </c>
      <c r="AW72">
        <v>55.611645090999218</v>
      </c>
      <c r="AX72">
        <v>2213.8612430088751</v>
      </c>
      <c r="AY72">
        <v>477.56203316049937</v>
      </c>
      <c r="AZ72">
        <v>48.005648241221891</v>
      </c>
      <c r="BA72">
        <v>0.90207747959395934</v>
      </c>
      <c r="BB72">
        <v>526.42884615384617</v>
      </c>
      <c r="BC72">
        <v>529.40245595695205</v>
      </c>
    </row>
    <row r="73" spans="45:55" x14ac:dyDescent="0.25">
      <c r="AS73">
        <v>50</v>
      </c>
      <c r="AT73">
        <v>665.46293309431394</v>
      </c>
      <c r="AU73">
        <v>47.591873276807505</v>
      </c>
      <c r="AV73">
        <v>118.38027657272562</v>
      </c>
      <c r="AW73">
        <v>56.161688356703415</v>
      </c>
      <c r="AX73">
        <v>2242.6752297663434</v>
      </c>
      <c r="AY73">
        <v>476.52436605426607</v>
      </c>
      <c r="AZ73">
        <v>49.005648241221891</v>
      </c>
      <c r="BA73">
        <v>0.90008882487332731</v>
      </c>
      <c r="BB73">
        <v>526.42884615384617</v>
      </c>
      <c r="BC73">
        <v>529.41926717213607</v>
      </c>
    </row>
    <row r="74" spans="45:55" x14ac:dyDescent="0.25">
      <c r="AS74">
        <v>51</v>
      </c>
      <c r="AT74">
        <v>652.96894055234588</v>
      </c>
      <c r="AU74">
        <v>48.126809421179381</v>
      </c>
      <c r="AV74">
        <v>118.78361745236424</v>
      </c>
      <c r="AW74">
        <v>56.698156112814573</v>
      </c>
      <c r="AX74">
        <v>2270.7589141714388</v>
      </c>
      <c r="AY74">
        <v>475.494607095064</v>
      </c>
      <c r="AZ74">
        <v>50.005648241221891</v>
      </c>
      <c r="BA74">
        <v>0.89812035879395957</v>
      </c>
      <c r="BB74">
        <v>526.42884615384617</v>
      </c>
      <c r="BC74">
        <v>529.43305698312156</v>
      </c>
    </row>
    <row r="75" spans="45:55" x14ac:dyDescent="0.25">
      <c r="AS75">
        <v>52</v>
      </c>
      <c r="AT75">
        <v>640.83758141082046</v>
      </c>
      <c r="AU75">
        <v>48.660753624664842</v>
      </c>
      <c r="AV75">
        <v>119.17784151534696</v>
      </c>
      <c r="AW75">
        <v>57.221391741493143</v>
      </c>
      <c r="AX75">
        <v>2298.2996804929271</v>
      </c>
      <c r="AY75">
        <v>474.47293737241955</v>
      </c>
      <c r="AZ75">
        <v>51.005648241221891</v>
      </c>
      <c r="BA75">
        <v>0.89617147870186387</v>
      </c>
      <c r="BB75">
        <v>526.42884615384617</v>
      </c>
      <c r="BC75">
        <v>529.44436265669867</v>
      </c>
    </row>
    <row r="76" spans="45:55" x14ac:dyDescent="0.25">
      <c r="AS76">
        <v>53</v>
      </c>
      <c r="AT76">
        <v>629.05640934320479</v>
      </c>
      <c r="AU76">
        <v>49.193664300368553</v>
      </c>
      <c r="AV76">
        <v>119.56327965402981</v>
      </c>
      <c r="AW76">
        <v>57.731729387981808</v>
      </c>
      <c r="AX76">
        <v>2325.3071692758535</v>
      </c>
      <c r="AY76">
        <v>473.45946470406028</v>
      </c>
      <c r="AZ76">
        <v>52.005648241221891</v>
      </c>
      <c r="BA76">
        <v>0.8942416113425844</v>
      </c>
      <c r="BB76">
        <v>526.42884615384617</v>
      </c>
      <c r="BC76">
        <v>529.45362718384808</v>
      </c>
    </row>
    <row r="77" spans="45:55" x14ac:dyDescent="0.25">
      <c r="AS77">
        <v>54</v>
      </c>
      <c r="AT77">
        <v>617.61337689407765</v>
      </c>
      <c r="AU77">
        <v>49.725502840470796</v>
      </c>
      <c r="AV77">
        <v>119.94024794035229</v>
      </c>
      <c r="AW77">
        <v>58.229494249716879</v>
      </c>
      <c r="AX77">
        <v>2351.7909909516043</v>
      </c>
      <c r="AY77">
        <v>472.45423812427742</v>
      </c>
      <c r="AZ77">
        <v>53.005648241221891</v>
      </c>
      <c r="BA77">
        <v>0.8923302108916481</v>
      </c>
      <c r="BB77">
        <v>526.42884615384617</v>
      </c>
      <c r="BC77">
        <v>529.46121554282502</v>
      </c>
    </row>
    <row r="78" spans="45:55" x14ac:dyDescent="0.25">
      <c r="AS78">
        <v>55</v>
      </c>
      <c r="AT78">
        <v>606.4968329945259</v>
      </c>
      <c r="AU78">
        <v>50.256233441375606</v>
      </c>
      <c r="AV78">
        <v>120.30904834755982</v>
      </c>
      <c r="AW78">
        <v>58.71500285309309</v>
      </c>
      <c r="AX78">
        <v>2377.7607111936841</v>
      </c>
      <c r="AY78">
        <v>471.45725980142453</v>
      </c>
      <c r="AZ78">
        <v>54.005648241221891</v>
      </c>
      <c r="BA78">
        <v>0.89043675715147608</v>
      </c>
      <c r="BB78">
        <v>526.42884615384617</v>
      </c>
      <c r="BC78">
        <v>529.46742821986049</v>
      </c>
    </row>
    <row r="79" spans="45:55" x14ac:dyDescent="0.25">
      <c r="AS79">
        <v>56</v>
      </c>
      <c r="AT79">
        <v>595.69551866493498</v>
      </c>
      <c r="AU79">
        <v>50.785822939303529</v>
      </c>
      <c r="AV79">
        <v>120.66996943960145</v>
      </c>
      <c r="AW79">
        <v>59.18856331868696</v>
      </c>
      <c r="AX79">
        <v>2403.2258379301802</v>
      </c>
      <c r="AY79">
        <v>470.46849481778952</v>
      </c>
      <c r="AZ79">
        <v>55.005648241221891</v>
      </c>
      <c r="BA79">
        <v>0.88856075389788081</v>
      </c>
      <c r="BB79">
        <v>526.42884615384617</v>
      </c>
      <c r="BC79">
        <v>529.47251243538358</v>
      </c>
    </row>
    <row r="80" spans="45:55" x14ac:dyDescent="0.25">
      <c r="AS80">
        <v>57</v>
      </c>
      <c r="AT80">
        <v>585.19856122932049</v>
      </c>
      <c r="AU80">
        <v>51.314240655682994</v>
      </c>
      <c r="AV80">
        <v>121.0232870287595</v>
      </c>
      <c r="AW80">
        <v>59.650475615669528</v>
      </c>
      <c r="AX80">
        <v>2428.1958098560604</v>
      </c>
      <c r="AY80">
        <v>469.48787917571462</v>
      </c>
      <c r="AZ80">
        <v>56.005648241221891</v>
      </c>
      <c r="BA80">
        <v>0.88670172736125585</v>
      </c>
      <c r="BB80">
        <v>526.42884615384617</v>
      </c>
      <c r="BC80">
        <v>529.47667145396019</v>
      </c>
    </row>
    <row r="81" spans="45:55" x14ac:dyDescent="0.25">
      <c r="AS81">
        <v>58</v>
      </c>
      <c r="AT81">
        <v>574.99546732096906</v>
      </c>
      <c r="AU81">
        <v>51.841458251735581</v>
      </c>
      <c r="AV81">
        <v>121.36926480224633</v>
      </c>
      <c r="AW81">
        <v>60.101031806072839</v>
      </c>
      <c r="AX81">
        <v>2452.6799863028473</v>
      </c>
      <c r="AY81">
        <v>468.51532633477768</v>
      </c>
      <c r="AZ81">
        <v>57.005648241221891</v>
      </c>
      <c r="BA81">
        <v>0.88485922482928603</v>
      </c>
      <c r="BB81">
        <v>526.42884615384617</v>
      </c>
      <c r="BC81">
        <v>529.48007229643486</v>
      </c>
    </row>
    <row r="82" spans="45:55" x14ac:dyDescent="0.25">
      <c r="AS82">
        <v>59</v>
      </c>
      <c r="AT82">
        <v>565.07611492029844</v>
      </c>
      <c r="AU82">
        <v>52.367449591688079</v>
      </c>
      <c r="AV82">
        <v>121.70815491863949</v>
      </c>
      <c r="AW82">
        <v>60.540516279515806</v>
      </c>
      <c r="AX82">
        <v>2476.6876383364111</v>
      </c>
      <c r="AY82">
        <v>467.55073253475837</v>
      </c>
      <c r="AZ82">
        <v>58.005648241221891</v>
      </c>
      <c r="BA82">
        <v>0.88303281335950112</v>
      </c>
      <c r="BB82">
        <v>526.42884615384617</v>
      </c>
      <c r="BC82">
        <v>529.48285212183691</v>
      </c>
    </row>
    <row r="83" spans="45:55" x14ac:dyDescent="0.25">
      <c r="AS83">
        <v>60</v>
      </c>
      <c r="AT83">
        <v>555.4307446318702</v>
      </c>
      <c r="AU83">
        <v>52.892190614080633</v>
      </c>
      <c r="AV83">
        <v>122.04019857512515</v>
      </c>
      <c r="AW83">
        <v>60.969205978943599</v>
      </c>
      <c r="AX83">
        <v>2500.2279409655812</v>
      </c>
      <c r="AY83">
        <v>466.59398111679241</v>
      </c>
      <c r="AZ83">
        <v>59.005648241221891</v>
      </c>
      <c r="BA83">
        <v>0.88122207859129953</v>
      </c>
      <c r="BB83">
        <v>526.42884615384617</v>
      </c>
      <c r="BC83">
        <v>529.48512350334931</v>
      </c>
    </row>
    <row r="84" spans="45:55" x14ac:dyDescent="0.25">
      <c r="AS84">
        <v>61</v>
      </c>
      <c r="AT84">
        <v>546.04995037782157</v>
      </c>
      <c r="AU84">
        <v>53.415659210673624</v>
      </c>
      <c r="AV84">
        <v>122.36562654659025</v>
      </c>
      <c r="AW84">
        <v>61.387370617887491</v>
      </c>
      <c r="AX84">
        <v>2523.3099663551752</v>
      </c>
      <c r="AY84">
        <v>465.64494601946325</v>
      </c>
      <c r="AZ84">
        <v>60.005648241221891</v>
      </c>
      <c r="BA84">
        <v>0.87942662364820956</v>
      </c>
      <c r="BB84">
        <v>526.42884615384617</v>
      </c>
      <c r="BC84">
        <v>529.48697878600012</v>
      </c>
    </row>
    <row r="85" spans="45:55" x14ac:dyDescent="0.25">
      <c r="AS85">
        <v>62</v>
      </c>
      <c r="AT85">
        <v>536.92466965911262</v>
      </c>
      <c r="AU85">
        <v>53.937835112487001</v>
      </c>
      <c r="AV85">
        <v>122.68465969764823</v>
      </c>
      <c r="AW85">
        <v>61.795272889711285</v>
      </c>
      <c r="AX85">
        <v>2545.9426779469472</v>
      </c>
      <c r="AY85">
        <v>464.70349459663277</v>
      </c>
      <c r="AZ85">
        <v>61.005648241221891</v>
      </c>
      <c r="BA85">
        <v>0.87764606812214596</v>
      </c>
      <c r="BB85">
        <v>526.42884615384617</v>
      </c>
      <c r="BC85">
        <v>529.48849368280639</v>
      </c>
    </row>
    <row r="86" spans="45:55" x14ac:dyDescent="0.25">
      <c r="AS86">
        <v>63</v>
      </c>
      <c r="AT86">
        <v>528.04617351346224</v>
      </c>
      <c r="AU86">
        <v>54.458699782535192</v>
      </c>
      <c r="AV86">
        <v>122.99750946870979</v>
      </c>
      <c r="AW86">
        <v>62.193168669273</v>
      </c>
      <c r="AX86">
        <v>2568.1349254009438</v>
      </c>
      <c r="AY86">
        <v>463.76948987872498</v>
      </c>
      <c r="AZ86">
        <v>62.005648241221891</v>
      </c>
      <c r="BA86">
        <v>0.87588004713230128</v>
      </c>
      <c r="BB86">
        <v>526.42884615384617</v>
      </c>
      <c r="BC86">
        <v>529.48973024005056</v>
      </c>
    </row>
    <row r="87" spans="45:55" x14ac:dyDescent="0.25">
      <c r="AS87">
        <v>64</v>
      </c>
      <c r="AT87">
        <v>519.40605627923969</v>
      </c>
      <c r="AU87">
        <v>54.978236314848708</v>
      </c>
      <c r="AV87">
        <v>123.30437833721902</v>
      </c>
      <c r="AW87">
        <v>62.581307207397423</v>
      </c>
      <c r="AX87">
        <v>2589.8954402779027</v>
      </c>
      <c r="AY87">
        <v>462.84279237820249</v>
      </c>
      <c r="AZ87">
        <v>63.005648241221891</v>
      </c>
      <c r="BA87">
        <v>0.87412821045207478</v>
      </c>
      <c r="BB87">
        <v>526.42884615384617</v>
      </c>
      <c r="BC87">
        <v>529.49073928049188</v>
      </c>
    </row>
    <row r="88" spans="45:55" x14ac:dyDescent="0.25">
      <c r="AS88">
        <v>65</v>
      </c>
      <c r="AT88">
        <v>510.99622525758366</v>
      </c>
      <c r="AU88">
        <v>55.496429339397977</v>
      </c>
      <c r="AV88">
        <v>123.60546025517283</v>
      </c>
      <c r="AW88">
        <v>62.959931318524745</v>
      </c>
      <c r="AX88">
        <v>2611.2328323907113</v>
      </c>
      <c r="AY88">
        <v>461.92326152248046</v>
      </c>
      <c r="AZ88">
        <v>64.005648241221891</v>
      </c>
      <c r="BA88">
        <v>0.87239022169812297</v>
      </c>
      <c r="BB88">
        <v>526.42884615384617</v>
      </c>
      <c r="BC88">
        <v>529.49156241496917</v>
      </c>
    </row>
    <row r="89" spans="45:55" x14ac:dyDescent="0.25">
      <c r="AS89">
        <v>66</v>
      </c>
      <c r="AT89">
        <v>502.80889035023915</v>
      </c>
      <c r="AU89">
        <v>56.013264932560666</v>
      </c>
      <c r="AV89">
        <v>123.90094106402803</v>
      </c>
      <c r="AW89">
        <v>63.329277561874214</v>
      </c>
      <c r="AX89">
        <v>2632.1555867596749</v>
      </c>
      <c r="AY89">
        <v>461.0107567829582</v>
      </c>
      <c r="AZ89">
        <v>65.005648241221891</v>
      </c>
      <c r="BA89">
        <v>0.87066575757621245</v>
      </c>
      <c r="BB89">
        <v>526.42884615384617</v>
      </c>
      <c r="BC89">
        <v>529.49223369750393</v>
      </c>
    </row>
    <row r="90" spans="45:55" x14ac:dyDescent="0.25">
      <c r="AS90">
        <v>67</v>
      </c>
      <c r="AT90">
        <v>494.83655373784546</v>
      </c>
      <c r="AU90">
        <v>56.528730532794945</v>
      </c>
      <c r="AV90">
        <v>124.19099888808076</v>
      </c>
      <c r="AW90">
        <v>63.689576416436438</v>
      </c>
      <c r="AX90">
        <v>2652.6720611123887</v>
      </c>
      <c r="AY90">
        <v>460.10513855674702</v>
      </c>
      <c r="AZ90">
        <v>66.005648241221891</v>
      </c>
      <c r="BA90">
        <v>0.86895450717908818</v>
      </c>
      <c r="BB90">
        <v>526.42884615384617</v>
      </c>
      <c r="BC90">
        <v>529.49278098619857</v>
      </c>
    </row>
    <row r="91" spans="45:55" x14ac:dyDescent="0.25">
      <c r="AS91">
        <v>68</v>
      </c>
      <c r="AT91">
        <v>487.07199965234764</v>
      </c>
      <c r="AU91">
        <v>57.042814861202871</v>
      </c>
      <c r="AV91">
        <v>124.47580450737365</v>
      </c>
      <c r="AW91">
        <v>64.04105245008671</v>
      </c>
      <c r="AX91">
        <v>2672.7904838745276</v>
      </c>
      <c r="AY91">
        <v>459.20626884762873</v>
      </c>
      <c r="AZ91">
        <v>67.005648241221891</v>
      </c>
      <c r="BA91">
        <v>0.86725617133203581</v>
      </c>
      <c r="BB91">
        <v>526.42884615384617</v>
      </c>
      <c r="BC91">
        <v>529.49322706153225</v>
      </c>
    </row>
    <row r="92" spans="45:55" x14ac:dyDescent="0.25">
      <c r="AS92">
        <v>69</v>
      </c>
      <c r="AT92">
        <v>479.5082842876721</v>
      </c>
      <c r="AU92">
        <v>57.555507846688101</v>
      </c>
      <c r="AV92">
        <v>124.7555217111577</v>
      </c>
      <c r="AW92">
        <v>64.383924483091178</v>
      </c>
      <c r="AX92">
        <v>2692.5189526028562</v>
      </c>
      <c r="AY92">
        <v>458.31401178446447</v>
      </c>
      <c r="AZ92">
        <v>68.005648241221891</v>
      </c>
      <c r="BA92">
        <v>0.8655704619822403</v>
      </c>
      <c r="BB92">
        <v>526.42884615384617</v>
      </c>
      <c r="BC92">
        <v>529.49359054476156</v>
      </c>
    </row>
    <row r="93" spans="45:55" x14ac:dyDescent="0.25">
      <c r="AS93">
        <v>70</v>
      </c>
      <c r="AT93">
        <v>472.13872588459407</v>
      </c>
      <c r="AU93">
        <v>58.0668005554299</v>
      </c>
      <c r="AV93">
        <v>125.03030763289834</v>
      </c>
      <c r="AW93">
        <v>64.718405746259634</v>
      </c>
      <c r="AX93">
        <v>2711.865432816287</v>
      </c>
      <c r="AY93">
        <v>457.42823400839461</v>
      </c>
      <c r="AZ93">
        <v>69.005648241221891</v>
      </c>
      <c r="BA93">
        <v>0.86389710162840827</v>
      </c>
      <c r="BB93">
        <v>526.42884615384617</v>
      </c>
      <c r="BC93">
        <v>529.49388665173478</v>
      </c>
    </row>
    <row r="94" spans="45:55" x14ac:dyDescent="0.25">
      <c r="AS94">
        <v>71</v>
      </c>
      <c r="AT94">
        <v>464.95689501865996</v>
      </c>
      <c r="AU94">
        <v>58.576685124413608</v>
      </c>
      <c r="AV94">
        <v>125.30031306778037</v>
      </c>
      <c r="AW94">
        <v>65.044704033982015</v>
      </c>
      <c r="AX94">
        <v>2730.8377571848873</v>
      </c>
      <c r="AY94">
        <v>456.5488049544885</v>
      </c>
      <c r="AZ94">
        <v>70.005648241221891</v>
      </c>
      <c r="BA94">
        <v>0.86223582278745681</v>
      </c>
      <c r="BB94">
        <v>526.42884615384617</v>
      </c>
      <c r="BC94">
        <v>529.49412781128308</v>
      </c>
    </row>
    <row r="95" spans="45:55" x14ac:dyDescent="0.25">
      <c r="AS95">
        <v>72</v>
      </c>
      <c r="AT95">
        <v>457.95660511396824</v>
      </c>
      <c r="AU95">
        <v>59.085154698773579</v>
      </c>
      <c r="AV95">
        <v>125.56568277362665</v>
      </c>
      <c r="AW95">
        <v>65.36302185237065</v>
      </c>
      <c r="AX95">
        <v>2749.4436250404856</v>
      </c>
      <c r="AY95">
        <v>455.67559704881768</v>
      </c>
      <c r="AZ95">
        <v>71.005648241221891</v>
      </c>
      <c r="BA95">
        <v>0.86058636749536865</v>
      </c>
      <c r="BB95">
        <v>526.42884615384617</v>
      </c>
      <c r="BC95">
        <v>529.49432417225682</v>
      </c>
    </row>
    <row r="96" spans="45:55" x14ac:dyDescent="0.25">
      <c r="AS96">
        <v>73</v>
      </c>
      <c r="AT96">
        <v>451.13190320043043</v>
      </c>
      <c r="AU96">
        <v>59.592203372719709</v>
      </c>
      <c r="AV96">
        <v>125.8265557561074</v>
      </c>
      <c r="AW96">
        <v>65.67355656271657</v>
      </c>
      <c r="AX96">
        <v>2767.6906021758696</v>
      </c>
      <c r="AY96">
        <v>454.80848583807006</v>
      </c>
      <c r="AZ96">
        <v>72.005648241221891</v>
      </c>
      <c r="BA96">
        <v>0.85894848683957148</v>
      </c>
      <c r="BB96">
        <v>526.42884615384617</v>
      </c>
      <c r="BC96">
        <v>529.49448401905863</v>
      </c>
    </row>
    <row r="97" spans="45:55" x14ac:dyDescent="0.25">
      <c r="AS97">
        <v>74</v>
      </c>
      <c r="AT97">
        <v>444.47706092770733</v>
      </c>
      <c r="AU97">
        <v>60.097826133833479</v>
      </c>
      <c r="AV97">
        <v>126.08306553907661</v>
      </c>
      <c r="AW97">
        <v>65.976500520454977</v>
      </c>
      <c r="AX97">
        <v>2785.5861209026134</v>
      </c>
      <c r="AY97">
        <v>453.94735006564537</v>
      </c>
      <c r="AZ97">
        <v>73.005648241221891</v>
      </c>
      <c r="BA97">
        <v>0.85732194052044641</v>
      </c>
      <c r="BB97">
        <v>526.42884615384617</v>
      </c>
      <c r="BC97">
        <v>529.49461411202401</v>
      </c>
    </row>
    <row r="98" spans="45:55" x14ac:dyDescent="0.25">
      <c r="AS98">
        <v>75</v>
      </c>
      <c r="AT98">
        <v>437.98656584525378</v>
      </c>
      <c r="AU98">
        <v>60.602018810532108</v>
      </c>
      <c r="AV98">
        <v>126.33534042083431</v>
      </c>
      <c r="AW98">
        <v>66.272041209824025</v>
      </c>
      <c r="AX98">
        <v>2803.1374803403723</v>
      </c>
      <c r="AY98">
        <v>453.09207170556601</v>
      </c>
      <c r="AZ98">
        <v>74.005648241221891</v>
      </c>
      <c r="BA98">
        <v>0.8557064964397747</v>
      </c>
      <c r="BB98">
        <v>526.42884615384617</v>
      </c>
      <c r="BC98">
        <v>529.49471996611749</v>
      </c>
    </row>
    <row r="99" spans="45:55" x14ac:dyDescent="0.25">
      <c r="AS99">
        <v>76</v>
      </c>
      <c r="AT99">
        <v>431.65511295471248</v>
      </c>
      <c r="AU99">
        <v>61.10477802251264</v>
      </c>
      <c r="AV99">
        <v>126.58350371707344</v>
      </c>
      <c r="AW99">
        <v>66.56036137438997</v>
      </c>
      <c r="AX99">
        <v>2820.3518469129499</v>
      </c>
      <c r="AY99">
        <v>452.24253596340048</v>
      </c>
      <c r="AZ99">
        <v>75.005648241221891</v>
      </c>
      <c r="BA99">
        <v>0.85410193031412884</v>
      </c>
      <c r="BB99">
        <v>526.42884615384617</v>
      </c>
      <c r="BC99">
        <v>529.4948060790249</v>
      </c>
    </row>
    <row r="100" spans="45:55" x14ac:dyDescent="0.25">
      <c r="AS100">
        <v>77</v>
      </c>
      <c r="AT100">
        <v>425.47759653820691</v>
      </c>
      <c r="AU100">
        <v>61.606101133998827</v>
      </c>
      <c r="AV100">
        <v>126.82767399123365</v>
      </c>
      <c r="AW100">
        <v>66.841639143601682</v>
      </c>
      <c r="AX100">
        <v>2837.2362550287471</v>
      </c>
      <c r="AY100">
        <v>451.39863125164175</v>
      </c>
      <c r="AZ100">
        <v>76.005648241221891</v>
      </c>
      <c r="BA100">
        <v>0.85250802531138414</v>
      </c>
      <c r="BB100">
        <v>526.42884615384617</v>
      </c>
      <c r="BC100">
        <v>529.49487611775317</v>
      </c>
    </row>
    <row r="101" spans="45:55" x14ac:dyDescent="0.25">
      <c r="AS101">
        <v>78</v>
      </c>
      <c r="AT101">
        <v>419.44910226381904</v>
      </c>
      <c r="AU101">
        <v>62.10598620962525</v>
      </c>
      <c r="AV101">
        <v>127.06796527294708</v>
      </c>
      <c r="AW101">
        <v>67.116048155529072</v>
      </c>
      <c r="AX101">
        <v>2853.7976079252699</v>
      </c>
      <c r="AY101">
        <v>450.56024914554899</v>
      </c>
      <c r="AZ101">
        <v>77.005648241221891</v>
      </c>
      <c r="BA101">
        <v>0.85092457170868319</v>
      </c>
      <c r="BB101">
        <v>526.42884615384617</v>
      </c>
      <c r="BC101">
        <v>529.49493307122384</v>
      </c>
    </row>
    <row r="102" spans="45:55" x14ac:dyDescent="0.25">
      <c r="AS102">
        <v>79</v>
      </c>
      <c r="AT102">
        <v>413.56489956764818</v>
      </c>
      <c r="AU102">
        <v>62.604431972802956</v>
      </c>
      <c r="AV102">
        <v>127.30448726522526</v>
      </c>
      <c r="AW102">
        <v>67.38375767593088</v>
      </c>
      <c r="AX102">
        <v>2870.0426786592216</v>
      </c>
      <c r="AY102">
        <v>449.72728432429227</v>
      </c>
      <c r="AZ102">
        <v>78.005648241221891</v>
      </c>
      <c r="BA102">
        <v>0.84935136657032584</v>
      </c>
      <c r="BB102">
        <v>526.42884615384617</v>
      </c>
      <c r="BC102">
        <v>529.49497937501121</v>
      </c>
    </row>
    <row r="103" spans="45:55" x14ac:dyDescent="0.25">
      <c r="AS103">
        <v>80</v>
      </c>
      <c r="AT103">
        <v>407.82043431027745</v>
      </c>
      <c r="AU103">
        <v>63.101437766420808</v>
      </c>
      <c r="AV103">
        <v>127.53734554100329</v>
      </c>
      <c r="AW103">
        <v>67.644932713789956</v>
      </c>
      <c r="AX103">
        <v>2885.9781112254391</v>
      </c>
      <c r="AY103">
        <v>448.89963450127954</v>
      </c>
      <c r="AZ103">
        <v>79.005648241221891</v>
      </c>
      <c r="BA103">
        <v>0.8477882134441832</v>
      </c>
      <c r="BB103">
        <v>526.42884615384617</v>
      </c>
      <c r="BC103">
        <v>529.49501701327233</v>
      </c>
    </row>
    <row r="104" spans="45:55" x14ac:dyDescent="0.25">
      <c r="AS104">
        <v>81</v>
      </c>
      <c r="AT104">
        <v>402.21132170418514</v>
      </c>
      <c r="AU104">
        <v>63.597003515745477</v>
      </c>
      <c r="AV104">
        <v>127.76664172962312</v>
      </c>
      <c r="AW104">
        <v>67.899734133446813</v>
      </c>
      <c r="AX104">
        <v>2901.6104217894654</v>
      </c>
      <c r="AY104">
        <v>448.07720034677055</v>
      </c>
      <c r="AZ104">
        <v>80.005648241221891</v>
      </c>
      <c r="BA104">
        <v>0.84623492207535156</v>
      </c>
      <c r="BB104">
        <v>526.42884615384617</v>
      </c>
      <c r="BC104">
        <v>529.49504760200887</v>
      </c>
    </row>
    <row r="105" spans="45:55" x14ac:dyDescent="0.25">
      <c r="AS105">
        <v>82</v>
      </c>
      <c r="AT105">
        <v>396.73333950758234</v>
      </c>
      <c r="AU105">
        <v>64.091129693391807</v>
      </c>
      <c r="AV105">
        <v>127.99247369380723</v>
      </c>
      <c r="AW105">
        <v>68.148318763455322</v>
      </c>
      <c r="AX105">
        <v>2916.9460000199383</v>
      </c>
      <c r="AY105">
        <v>447.25988540524645</v>
      </c>
      <c r="AZ105">
        <v>81.005648241221891</v>
      </c>
      <c r="BA105">
        <v>0.84469130813586324</v>
      </c>
      <c r="BB105">
        <v>526.42884615384617</v>
      </c>
      <c r="BC105">
        <v>529.49507245705854</v>
      </c>
    </row>
    <row r="106" spans="45:55" x14ac:dyDescent="0.25">
      <c r="AS106">
        <v>83</v>
      </c>
      <c r="AT106">
        <v>391.38242147931379</v>
      </c>
      <c r="AU106">
        <v>64.583817286242777</v>
      </c>
      <c r="AV106">
        <v>128.21493569764317</v>
      </c>
      <c r="AW106">
        <v>68.390839502278808</v>
      </c>
      <c r="AX106">
        <v>2931.9911105082906</v>
      </c>
      <c r="AY106">
        <v>446.44759600948896</v>
      </c>
      <c r="AZ106">
        <v>82.005648241221891</v>
      </c>
      <c r="BA106">
        <v>0.84315719296936753</v>
      </c>
      <c r="BB106">
        <v>526.42884615384617</v>
      </c>
      <c r="BC106">
        <v>529.49509264959647</v>
      </c>
    </row>
    <row r="107" spans="45:55" x14ac:dyDescent="0.25">
      <c r="AS107">
        <v>84</v>
      </c>
      <c r="AT107">
        <v>386.15465108878527</v>
      </c>
      <c r="AU107">
        <v>65.075067764205969</v>
      </c>
      <c r="AV107">
        <v>128.43411856607156</v>
      </c>
      <c r="AW107">
        <v>68.627445420938173</v>
      </c>
      <c r="AX107">
        <v>2946.7518942643787</v>
      </c>
      <c r="AY107">
        <v>445.64024119290804</v>
      </c>
      <c r="AZ107">
        <v>83.005648241221891</v>
      </c>
      <c r="BA107">
        <v>0.84163240334978207</v>
      </c>
      <c r="BB107">
        <v>526.42884615384617</v>
      </c>
      <c r="BC107">
        <v>529.49510905142768</v>
      </c>
    </row>
    <row r="108" spans="45:55" x14ac:dyDescent="0.25">
      <c r="AS108">
        <v>85</v>
      </c>
      <c r="AT108">
        <v>381.04625547435847</v>
      </c>
      <c r="AU108">
        <v>65.564883050700345</v>
      </c>
      <c r="AV108">
        <v>128.65010983634173</v>
      </c>
      <c r="AW108">
        <v>68.858281862719068</v>
      </c>
      <c r="AX108">
        <v>2961.2343702777371</v>
      </c>
      <c r="AY108">
        <v>444.83773260131829</v>
      </c>
      <c r="AZ108">
        <v>84.005648241221891</v>
      </c>
      <c r="BA108">
        <v>0.840116771252989</v>
      </c>
      <c r="BB108">
        <v>526.42884615384617</v>
      </c>
      <c r="BC108">
        <v>529.49512237193733</v>
      </c>
    </row>
    <row r="109" spans="45:55" x14ac:dyDescent="0.25">
      <c r="AS109">
        <v>86</v>
      </c>
      <c r="AT109">
        <v>376.05359964326669</v>
      </c>
      <c r="AU109">
        <v>66.053265494773441</v>
      </c>
      <c r="AV109">
        <v>128.86299390187406</v>
      </c>
      <c r="AW109">
        <v>69.083490540039492</v>
      </c>
      <c r="AX109">
        <v>2975.4444371350946</v>
      </c>
      <c r="AY109">
        <v>444.03998440509275</v>
      </c>
      <c r="AZ109">
        <v>85.005648241221891</v>
      </c>
      <c r="BA109">
        <v>0.83861013364072745</v>
      </c>
      <c r="BB109">
        <v>526.42884615384617</v>
      </c>
      <c r="BC109">
        <v>529.49513318822574</v>
      </c>
    </row>
    <row r="110" spans="45:55" x14ac:dyDescent="0.25">
      <c r="AS110">
        <v>87</v>
      </c>
      <c r="AT110">
        <v>371.17318090581301</v>
      </c>
      <c r="AU110">
        <v>66.54021784475529</v>
      </c>
      <c r="AV110">
        <v>129.07285214894341</v>
      </c>
      <c r="AW110">
        <v>69.30320962857482</v>
      </c>
      <c r="AX110">
        <v>2989.3878746856949</v>
      </c>
      <c r="AY110">
        <v>443.24691321240209</v>
      </c>
      <c r="AZ110">
        <v>86.005648241221891</v>
      </c>
      <c r="BA110">
        <v>0.83711233225589221</v>
      </c>
      <c r="BB110">
        <v>526.42884615384617</v>
      </c>
      <c r="BC110">
        <v>529.49514196967823</v>
      </c>
    </row>
    <row r="111" spans="45:55" x14ac:dyDescent="0.25">
      <c r="AS111">
        <v>88</v>
      </c>
      <c r="AT111">
        <v>366.40162353642751</v>
      </c>
      <c r="AU111">
        <v>67.025743223361317</v>
      </c>
      <c r="AV111">
        <v>129.27976308657358</v>
      </c>
      <c r="AW111">
        <v>69.517573858732831</v>
      </c>
      <c r="AX111">
        <v>3003.0703457467039</v>
      </c>
      <c r="AY111">
        <v>442.45843798407486</v>
      </c>
      <c r="AZ111">
        <v>87.005648241221891</v>
      </c>
      <c r="BA111">
        <v>0.8356232134285142</v>
      </c>
      <c r="BB111">
        <v>526.42884615384617</v>
      </c>
      <c r="BC111">
        <v>529.49514909799268</v>
      </c>
    </row>
    <row r="112" spans="45:55" x14ac:dyDescent="0.25">
      <c r="AS112">
        <v>89</v>
      </c>
      <c r="AT112">
        <v>361.73567365404529</v>
      </c>
      <c r="AU112">
        <v>67.509845104161172</v>
      </c>
      <c r="AV112">
        <v>129.48380247001248</v>
      </c>
      <c r="AW112">
        <v>69.726714604566951</v>
      </c>
      <c r="AX112">
        <v>3016.497397841782</v>
      </c>
      <c r="AY112">
        <v>441.67447995046939</v>
      </c>
      <c r="AZ112">
        <v>88.005648241221891</v>
      </c>
      <c r="BA112">
        <v>0.83414262789174698</v>
      </c>
      <c r="BB112">
        <v>526.42884615384617</v>
      </c>
      <c r="BC112">
        <v>529.49515488349891</v>
      </c>
    </row>
    <row r="113" spans="45:55" x14ac:dyDescent="0.25">
      <c r="AS113">
        <v>90</v>
      </c>
      <c r="AT113">
        <v>357.17219431421904</v>
      </c>
      <c r="AU113">
        <v>67.992527289335953</v>
      </c>
      <c r="AV113">
        <v>129.6850434181348</v>
      </c>
      <c r="AW113">
        <v>69.93075997021225</v>
      </c>
      <c r="AX113">
        <v>3029.6744649664734</v>
      </c>
      <c r="AY113">
        <v>440.8949625306393</v>
      </c>
      <c r="AZ113">
        <v>89.005648241221891</v>
      </c>
      <c r="BA113">
        <v>0.83267043060723667</v>
      </c>
      <c r="BB113">
        <v>526.42884615384617</v>
      </c>
      <c r="BC113">
        <v>529.4951595784546</v>
      </c>
    </row>
    <row r="114" spans="45:55" x14ac:dyDescent="0.25">
      <c r="AS114">
        <v>91</v>
      </c>
      <c r="AT114">
        <v>352.70816080538685</v>
      </c>
      <c r="AU114">
        <v>68.473793888651116</v>
      </c>
      <c r="AV114">
        <v>129.88355652510106</v>
      </c>
      <c r="AW114">
        <v>70.129834873924935</v>
      </c>
      <c r="AX114">
        <v>3042.606869374747</v>
      </c>
      <c r="AY114">
        <v>440.11981125398506</v>
      </c>
      <c r="AZ114">
        <v>90.005648241221891</v>
      </c>
      <c r="BA114">
        <v>0.83120648059929814</v>
      </c>
      <c r="BB114">
        <v>526.42884615384617</v>
      </c>
      <c r="BC114">
        <v>529.49516338787396</v>
      </c>
    </row>
    <row r="115" spans="45:55" x14ac:dyDescent="0.25">
      <c r="AS115">
        <v>92</v>
      </c>
      <c r="AT115">
        <v>348.34065614177229</v>
      </c>
      <c r="AU115">
        <v>68.953649299575844</v>
      </c>
      <c r="AV115">
        <v>130.07940996658152</v>
      </c>
      <c r="AW115">
        <v>70.324061129803056</v>
      </c>
      <c r="AX115">
        <v>3055.2998233815119</v>
      </c>
      <c r="AY115">
        <v>439.34895368451032</v>
      </c>
      <c r="AZ115">
        <v>91.005648241221891</v>
      </c>
      <c r="BA115">
        <v>0.82975064079735772</v>
      </c>
      <c r="BB115">
        <v>526.42884615384617</v>
      </c>
      <c r="BC115">
        <v>529.49516647834491</v>
      </c>
    </row>
    <row r="116" spans="45:55" x14ac:dyDescent="0.25">
      <c r="AS116">
        <v>93</v>
      </c>
      <c r="AT116">
        <v>344.06686674547916</v>
      </c>
      <c r="AU116">
        <v>69.4320981884849</v>
      </c>
      <c r="AV116">
        <v>130.27266960083728</v>
      </c>
      <c r="AW116">
        <v>70.513557527261966</v>
      </c>
      <c r="AX116">
        <v>3067.7584311764413</v>
      </c>
      <c r="AY116">
        <v>438.58231934775364</v>
      </c>
      <c r="AZ116">
        <v>92.005648241221891</v>
      </c>
      <c r="BA116">
        <v>0.8283027778861678</v>
      </c>
      <c r="BB116">
        <v>526.42884615384617</v>
      </c>
      <c r="BC116">
        <v>529.49516898520801</v>
      </c>
    </row>
    <row r="117" spans="45:55" x14ac:dyDescent="0.25">
      <c r="AS117">
        <v>94</v>
      </c>
      <c r="AT117">
        <v>339.88407831046993</v>
      </c>
      <c r="AU117">
        <v>69.909145472882045</v>
      </c>
      <c r="AV117">
        <v>130.4633990649337</v>
      </c>
      <c r="AW117">
        <v>70.698439908336326</v>
      </c>
      <c r="AX117">
        <v>3079.9876906449272</v>
      </c>
      <c r="AY117">
        <v>437.81983966041594</v>
      </c>
      <c r="AZ117">
        <v>93.005648241221891</v>
      </c>
      <c r="BA117">
        <v>0.82686276216332721</v>
      </c>
      <c r="BB117">
        <v>526.42884615384617</v>
      </c>
      <c r="BC117">
        <v>529.49517101839808</v>
      </c>
    </row>
    <row r="118" spans="45:55" x14ac:dyDescent="0.25">
      <c r="AS118">
        <v>95</v>
      </c>
      <c r="AT118">
        <v>335.78967184125912</v>
      </c>
      <c r="AU118">
        <v>70.384796304587923</v>
      </c>
      <c r="AV118">
        <v>130.65165986634511</v>
      </c>
      <c r="AW118">
        <v>70.878821242876327</v>
      </c>
      <c r="AX118">
        <v>3091.9924951923313</v>
      </c>
      <c r="AY118">
        <v>437.06144786267663</v>
      </c>
      <c r="AZ118">
        <v>94.005648241221891</v>
      </c>
      <c r="BA118">
        <v>0.82543046740367754</v>
      </c>
      <c r="BB118">
        <v>526.42884615384617</v>
      </c>
      <c r="BC118">
        <v>529.49517266719852</v>
      </c>
    </row>
    <row r="119" spans="45:55" x14ac:dyDescent="0.25">
      <c r="AS119">
        <v>96</v>
      </c>
      <c r="AT119">
        <v>331.78111985931929</v>
      </c>
      <c r="AU119">
        <v>70.85905605383887</v>
      </c>
      <c r="AV119">
        <v>130.83751147019589</v>
      </c>
      <c r="AW119">
        <v>71.054811701703997</v>
      </c>
      <c r="AX119">
        <v>3103.7776355681472</v>
      </c>
      <c r="AY119">
        <v>436.30707895316334</v>
      </c>
      <c r="AZ119">
        <v>95.005648241221891</v>
      </c>
      <c r="BA119">
        <v>0.82400577073017456</v>
      </c>
      <c r="BB119">
        <v>526.42884615384617</v>
      </c>
      <c r="BC119">
        <v>529.49517400410855</v>
      </c>
    </row>
    <row r="120" spans="45:55" x14ac:dyDescent="0.25">
      <c r="AS120">
        <v>97</v>
      </c>
      <c r="AT120">
        <v>327.85598277038008</v>
      </c>
      <c r="AU120">
        <v>71.331930294246064</v>
      </c>
      <c r="AV120">
        <v>131.02101138236887</v>
      </c>
      <c r="AW120">
        <v>71.22651872779231</v>
      </c>
      <c r="AX120">
        <v>3115.347801686994</v>
      </c>
      <c r="AY120">
        <v>435.55666962652333</v>
      </c>
      <c r="AZ120">
        <v>96.005648241221891</v>
      </c>
      <c r="BA120">
        <v>0.82258855249085916</v>
      </c>
      <c r="BB120">
        <v>526.42884615384617</v>
      </c>
      <c r="BC120">
        <v>529.49517508798954</v>
      </c>
    </row>
    <row r="121" spans="45:55" x14ac:dyDescent="0.25">
      <c r="AS121">
        <v>98</v>
      </c>
      <c r="AT121">
        <v>324.01190538599059</v>
      </c>
      <c r="AU121">
        <v>71.803424788567298</v>
      </c>
      <c r="AV121">
        <v>131.20221522869849</v>
      </c>
      <c r="AW121">
        <v>71.394047105527719</v>
      </c>
      <c r="AX121">
        <v>3126.7075844436736</v>
      </c>
      <c r="AY121">
        <v>434.81015821352867</v>
      </c>
      <c r="AZ121">
        <v>97.005648241221891</v>
      </c>
      <c r="BA121">
        <v>0.82117869614158223</v>
      </c>
      <c r="BB121">
        <v>526.42884615384617</v>
      </c>
      <c r="BC121">
        <v>529.49517596662247</v>
      </c>
    </row>
    <row r="122" spans="45:55" x14ac:dyDescent="0.25">
      <c r="AS122">
        <v>99</v>
      </c>
      <c r="AT122">
        <v>320.24661359291616</v>
      </c>
      <c r="AU122">
        <v>72.273545475247104</v>
      </c>
      <c r="AV122">
        <v>131.38117683045434</v>
      </c>
      <c r="AW122">
        <v>71.557499028114265</v>
      </c>
      <c r="AX122">
        <v>3137.8614775198257</v>
      </c>
      <c r="AY122">
        <v>434.06748462363981</v>
      </c>
      <c r="AZ122">
        <v>98.005648241221891</v>
      </c>
      <c r="BA122">
        <v>0.81977608813415437</v>
      </c>
      <c r="BB122">
        <v>526.42884615384617</v>
      </c>
      <c r="BC122">
        <v>529.49517667878808</v>
      </c>
    </row>
    <row r="123" spans="45:55" x14ac:dyDescent="0.25">
      <c r="AS123">
        <v>100</v>
      </c>
      <c r="AT123">
        <v>316.55791116415025</v>
      </c>
      <c r="AU123">
        <v>72.742298455682359</v>
      </c>
      <c r="AV123">
        <v>131.55794827630842</v>
      </c>
      <c r="AW123">
        <v>71.716974163175124</v>
      </c>
      <c r="AX123">
        <v>3148.813879179957</v>
      </c>
      <c r="AY123">
        <v>433.32859028994432</v>
      </c>
      <c r="AZ123">
        <v>99.005648241221891</v>
      </c>
      <c r="BA123">
        <v>0.81838061780961935</v>
      </c>
      <c r="BB123">
        <v>526.42884615384617</v>
      </c>
      <c r="BC123">
        <v>529.4951772559574</v>
      </c>
    </row>
  </sheetData>
  <mergeCells count="14">
    <mergeCell ref="B20:B23"/>
    <mergeCell ref="B24:B25"/>
    <mergeCell ref="B8:B13"/>
    <mergeCell ref="J8:J11"/>
    <mergeCell ref="K8:L8"/>
    <mergeCell ref="K9:L9"/>
    <mergeCell ref="K10:L10"/>
    <mergeCell ref="K11:L11"/>
    <mergeCell ref="B2:B6"/>
    <mergeCell ref="C2:D2"/>
    <mergeCell ref="C3:D3"/>
    <mergeCell ref="C4:D4"/>
    <mergeCell ref="C5:D5"/>
    <mergeCell ref="C6:D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Group Box 1">
              <controlPr defaultSize="0" autoFill="0" autoPict="0">
                <anchor moveWithCells="1">
                  <from>
                    <xdr:col>0</xdr:col>
                    <xdr:colOff>114300</xdr:colOff>
                    <xdr:row>13</xdr:row>
                    <xdr:rowOff>152400</xdr:rowOff>
                  </from>
                  <to>
                    <xdr:col>3</xdr:col>
                    <xdr:colOff>571500</xdr:colOff>
                    <xdr:row>17</xdr:row>
                    <xdr:rowOff>133350</xdr:rowOff>
                  </to>
                </anchor>
              </controlPr>
            </control>
          </mc:Choice>
        </mc:AlternateContent>
        <mc:AlternateContent xmlns:mc="http://schemas.openxmlformats.org/markup-compatibility/2006">
          <mc:Choice Requires="x14">
            <control shapeId="2050" r:id="rId4" name="Group Box 2">
              <controlPr defaultSize="0" autoFill="0" autoPict="0">
                <anchor moveWithCells="1">
                  <from>
                    <xdr:col>3</xdr:col>
                    <xdr:colOff>1228725</xdr:colOff>
                    <xdr:row>13</xdr:row>
                    <xdr:rowOff>152400</xdr:rowOff>
                  </from>
                  <to>
                    <xdr:col>5</xdr:col>
                    <xdr:colOff>219075</xdr:colOff>
                    <xdr:row>17</xdr:row>
                    <xdr:rowOff>171450</xdr:rowOff>
                  </to>
                </anchor>
              </controlPr>
            </control>
          </mc:Choice>
        </mc:AlternateContent>
        <mc:AlternateContent xmlns:mc="http://schemas.openxmlformats.org/markup-compatibility/2006">
          <mc:Choice Requires="x14">
            <control shapeId="2051" r:id="rId5" name="Group Box 3">
              <controlPr defaultSize="0" autoFill="0" autoPict="0">
                <anchor moveWithCells="1">
                  <from>
                    <xdr:col>3</xdr:col>
                    <xdr:colOff>933450</xdr:colOff>
                    <xdr:row>21</xdr:row>
                    <xdr:rowOff>0</xdr:rowOff>
                  </from>
                  <to>
                    <xdr:col>4</xdr:col>
                    <xdr:colOff>123825</xdr:colOff>
                    <xdr:row>21</xdr:row>
                    <xdr:rowOff>190500</xdr:rowOff>
                  </to>
                </anchor>
              </controlPr>
            </control>
          </mc:Choice>
        </mc:AlternateContent>
        <mc:AlternateContent xmlns:mc="http://schemas.openxmlformats.org/markup-compatibility/2006">
          <mc:Choice Requires="x14">
            <control shapeId="2052" r:id="rId6" name="Group Box 4">
              <controlPr defaultSize="0" autoFill="0" autoPict="0">
                <anchor moveWithCells="1">
                  <from>
                    <xdr:col>3</xdr:col>
                    <xdr:colOff>1381125</xdr:colOff>
                    <xdr:row>22</xdr:row>
                    <xdr:rowOff>0</xdr:rowOff>
                  </from>
                  <to>
                    <xdr:col>4</xdr:col>
                    <xdr:colOff>123825</xdr:colOff>
                    <xdr:row>22</xdr:row>
                    <xdr:rowOff>209550</xdr:rowOff>
                  </to>
                </anchor>
              </controlPr>
            </control>
          </mc:Choice>
        </mc:AlternateContent>
        <mc:AlternateContent xmlns:mc="http://schemas.openxmlformats.org/markup-compatibility/2006">
          <mc:Choice Requires="x14">
            <control shapeId="2053" r:id="rId7" name="Group Box 5">
              <controlPr defaultSize="0" autoFill="0" autoPict="0">
                <anchor moveWithCells="1">
                  <from>
                    <xdr:col>4</xdr:col>
                    <xdr:colOff>0</xdr:colOff>
                    <xdr:row>7</xdr:row>
                    <xdr:rowOff>47625</xdr:rowOff>
                  </from>
                  <to>
                    <xdr:col>4</xdr:col>
                    <xdr:colOff>781050</xdr:colOff>
                    <xdr:row>10</xdr:row>
                    <xdr:rowOff>85725</xdr:rowOff>
                  </to>
                </anchor>
              </controlPr>
            </control>
          </mc:Choice>
        </mc:AlternateContent>
        <mc:AlternateContent xmlns:mc="http://schemas.openxmlformats.org/markup-compatibility/2006">
          <mc:Choice Requires="x14">
            <control shapeId="2054" r:id="rId8" name="Group Box 6">
              <controlPr defaultSize="0" autoFill="0" autoPict="0">
                <anchor moveWithCells="1">
                  <from>
                    <xdr:col>5</xdr:col>
                    <xdr:colOff>19050</xdr:colOff>
                    <xdr:row>7</xdr:row>
                    <xdr:rowOff>161925</xdr:rowOff>
                  </from>
                  <to>
                    <xdr:col>5</xdr:col>
                    <xdr:colOff>571500</xdr:colOff>
                    <xdr:row>10</xdr:row>
                    <xdr:rowOff>57150</xdr:rowOff>
                  </to>
                </anchor>
              </controlPr>
            </control>
          </mc:Choice>
        </mc:AlternateContent>
        <mc:AlternateContent xmlns:mc="http://schemas.openxmlformats.org/markup-compatibility/2006">
          <mc:Choice Requires="x14">
            <control shapeId="2055" r:id="rId9" name="Group Box 7">
              <controlPr defaultSize="0" autoFill="0" autoPict="0">
                <anchor moveWithCells="1">
                  <from>
                    <xdr:col>5</xdr:col>
                    <xdr:colOff>533400</xdr:colOff>
                    <xdr:row>7</xdr:row>
                    <xdr:rowOff>85725</xdr:rowOff>
                  </from>
                  <to>
                    <xdr:col>7</xdr:col>
                    <xdr:colOff>66675</xdr:colOff>
                    <xdr:row>11</xdr:row>
                    <xdr:rowOff>0</xdr:rowOff>
                  </to>
                </anchor>
              </controlPr>
            </control>
          </mc:Choice>
        </mc:AlternateContent>
        <mc:AlternateContent xmlns:mc="http://schemas.openxmlformats.org/markup-compatibility/2006">
          <mc:Choice Requires="x14">
            <control shapeId="2056" r:id="rId10" name="Group Box 8">
              <controlPr defaultSize="0" autoFill="0" autoPict="0">
                <anchor moveWithCells="1">
                  <from>
                    <xdr:col>6</xdr:col>
                    <xdr:colOff>533400</xdr:colOff>
                    <xdr:row>7</xdr:row>
                    <xdr:rowOff>85725</xdr:rowOff>
                  </from>
                  <to>
                    <xdr:col>8</xdr:col>
                    <xdr:colOff>66675</xdr:colOff>
                    <xdr:row>11</xdr:row>
                    <xdr:rowOff>0</xdr:rowOff>
                  </to>
                </anchor>
              </controlPr>
            </control>
          </mc:Choice>
        </mc:AlternateContent>
        <mc:AlternateContent xmlns:mc="http://schemas.openxmlformats.org/markup-compatibility/2006">
          <mc:Choice Requires="x14">
            <control shapeId="2057" r:id="rId11" name="Group Box 9">
              <controlPr defaultSize="0" autoFill="0" autoPict="0">
                <anchor moveWithCells="1">
                  <from>
                    <xdr:col>6</xdr:col>
                    <xdr:colOff>533400</xdr:colOff>
                    <xdr:row>7</xdr:row>
                    <xdr:rowOff>85725</xdr:rowOff>
                  </from>
                  <to>
                    <xdr:col>8</xdr:col>
                    <xdr:colOff>66675</xdr:colOff>
                    <xdr:row>11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F264-26D7-46E4-8B5F-8EE7314C22C0}">
  <sheetPr codeName="Sheet13">
    <tabColor rgb="FF92D050"/>
  </sheetPr>
  <dimension ref="A1:C1006"/>
  <sheetViews>
    <sheetView workbookViewId="0">
      <selection sqref="A1:C1"/>
    </sheetView>
  </sheetViews>
  <sheetFormatPr defaultColWidth="0" defaultRowHeight="15" zeroHeight="1" x14ac:dyDescent="0.25"/>
  <cols>
    <col min="1" max="1" width="15.7109375" customWidth="1"/>
    <col min="2" max="2" width="11.7109375" customWidth="1"/>
    <col min="3" max="3" width="11.28515625" style="69" customWidth="1"/>
    <col min="4" max="4" width="0" hidden="1" customWidth="1"/>
  </cols>
  <sheetData>
    <row r="1" spans="1:3" x14ac:dyDescent="0.25">
      <c r="A1" s="59" t="s">
        <v>147</v>
      </c>
      <c r="B1" s="60"/>
      <c r="C1" s="61"/>
    </row>
    <row r="2" spans="1:3" x14ac:dyDescent="0.25">
      <c r="A2" s="62"/>
      <c r="B2" s="63"/>
      <c r="C2" s="63"/>
    </row>
    <row r="3" spans="1:3" x14ac:dyDescent="0.25">
      <c r="A3" s="64" t="s">
        <v>148</v>
      </c>
      <c r="B3">
        <v>0.06</v>
      </c>
      <c r="C3">
        <f>COUNT(B7:B24)/B3</f>
        <v>300</v>
      </c>
    </row>
    <row r="4" spans="1:3" x14ac:dyDescent="0.25">
      <c r="A4" s="65" t="s">
        <v>125</v>
      </c>
      <c r="B4" s="66">
        <v>21.5833333333333</v>
      </c>
      <c r="C4" s="67">
        <f>AVERAGE(C7:C24)</f>
        <v>19.77272727272727</v>
      </c>
    </row>
    <row r="5" spans="1:3" x14ac:dyDescent="0.25">
      <c r="A5" s="62"/>
      <c r="B5" s="63"/>
      <c r="C5" s="63"/>
    </row>
    <row r="6" spans="1:3" x14ac:dyDescent="0.25">
      <c r="A6" s="68" t="s">
        <v>149</v>
      </c>
      <c r="B6" s="68" t="s">
        <v>150</v>
      </c>
      <c r="C6" s="68" t="s">
        <v>127</v>
      </c>
    </row>
    <row r="7" spans="1:3" x14ac:dyDescent="0.25">
      <c r="A7" s="36">
        <v>1</v>
      </c>
      <c r="B7">
        <v>38.299999999999997</v>
      </c>
      <c r="C7">
        <v>18.600000000000001</v>
      </c>
    </row>
    <row r="8" spans="1:3" x14ac:dyDescent="0.25">
      <c r="A8" s="36">
        <v>2</v>
      </c>
      <c r="B8">
        <v>45.2</v>
      </c>
      <c r="C8">
        <v>20.100000000000001</v>
      </c>
    </row>
    <row r="9" spans="1:3" x14ac:dyDescent="0.25">
      <c r="A9" s="36">
        <v>3</v>
      </c>
      <c r="B9">
        <v>56</v>
      </c>
      <c r="C9"/>
    </row>
    <row r="10" spans="1:3" x14ac:dyDescent="0.25">
      <c r="A10" s="36">
        <v>4</v>
      </c>
      <c r="B10">
        <v>57.6</v>
      </c>
      <c r="C10"/>
    </row>
    <row r="11" spans="1:3" x14ac:dyDescent="0.25">
      <c r="A11" s="36">
        <v>5</v>
      </c>
      <c r="B11">
        <v>42.5</v>
      </c>
      <c r="C11">
        <v>19.899999999999999</v>
      </c>
    </row>
    <row r="12" spans="1:3" x14ac:dyDescent="0.25">
      <c r="A12" s="36">
        <v>6</v>
      </c>
      <c r="B12">
        <v>28</v>
      </c>
      <c r="C12"/>
    </row>
    <row r="13" spans="1:3" x14ac:dyDescent="0.25">
      <c r="A13" s="36">
        <v>7</v>
      </c>
      <c r="B13">
        <v>51.2</v>
      </c>
      <c r="C13">
        <v>21.4</v>
      </c>
    </row>
    <row r="14" spans="1:3" x14ac:dyDescent="0.25">
      <c r="A14" s="36">
        <v>8</v>
      </c>
      <c r="B14">
        <v>50.6</v>
      </c>
      <c r="C14">
        <v>18.7</v>
      </c>
    </row>
    <row r="15" spans="1:3" x14ac:dyDescent="0.25">
      <c r="A15" s="36">
        <v>9</v>
      </c>
      <c r="B15">
        <v>54.8</v>
      </c>
      <c r="C15">
        <v>22.5</v>
      </c>
    </row>
    <row r="16" spans="1:3" x14ac:dyDescent="0.25">
      <c r="A16" s="36">
        <v>10</v>
      </c>
      <c r="B16">
        <v>24.3</v>
      </c>
      <c r="C16">
        <v>12.5</v>
      </c>
    </row>
    <row r="17" spans="1:3" x14ac:dyDescent="0.25">
      <c r="A17" s="36">
        <v>11</v>
      </c>
      <c r="B17">
        <v>65.900000000000006</v>
      </c>
      <c r="C17">
        <v>20.7</v>
      </c>
    </row>
    <row r="18" spans="1:3" x14ac:dyDescent="0.25">
      <c r="A18" s="36">
        <v>12</v>
      </c>
      <c r="B18">
        <v>40.4</v>
      </c>
      <c r="C18">
        <v>22.6</v>
      </c>
    </row>
    <row r="19" spans="1:3" x14ac:dyDescent="0.25">
      <c r="A19" s="36">
        <v>13</v>
      </c>
      <c r="B19">
        <v>49.5</v>
      </c>
      <c r="C19">
        <v>22.2</v>
      </c>
    </row>
    <row r="20" spans="1:3" x14ac:dyDescent="0.25">
      <c r="A20" s="36">
        <v>14</v>
      </c>
      <c r="B20">
        <v>47.1</v>
      </c>
      <c r="C20"/>
    </row>
    <row r="21" spans="1:3" x14ac:dyDescent="0.25">
      <c r="A21" s="36">
        <v>15</v>
      </c>
      <c r="B21">
        <v>44.6</v>
      </c>
      <c r="C21">
        <v>18.3</v>
      </c>
    </row>
    <row r="22" spans="1:3" x14ac:dyDescent="0.25">
      <c r="A22" s="36">
        <v>16</v>
      </c>
      <c r="B22">
        <v>51.1</v>
      </c>
      <c r="C22"/>
    </row>
    <row r="23" spans="1:3" x14ac:dyDescent="0.25">
      <c r="A23" s="36">
        <v>17</v>
      </c>
      <c r="B23">
        <v>37.1</v>
      </c>
      <c r="C23"/>
    </row>
    <row r="24" spans="1:3" x14ac:dyDescent="0.25">
      <c r="A24" s="36">
        <v>18</v>
      </c>
      <c r="B24">
        <v>43.2</v>
      </c>
      <c r="C24"/>
    </row>
    <row r="25" spans="1:3" x14ac:dyDescent="0.25">
      <c r="A25" s="36"/>
      <c r="C25"/>
    </row>
    <row r="26" spans="1:3" x14ac:dyDescent="0.25">
      <c r="A26" s="36"/>
      <c r="C26"/>
    </row>
    <row r="27" spans="1:3" x14ac:dyDescent="0.25">
      <c r="A27" s="36"/>
      <c r="C27"/>
    </row>
    <row r="28" spans="1:3" x14ac:dyDescent="0.25">
      <c r="A28" s="36"/>
      <c r="C28"/>
    </row>
    <row r="29" spans="1:3" x14ac:dyDescent="0.25">
      <c r="A29" s="36"/>
      <c r="C29"/>
    </row>
    <row r="30" spans="1:3" x14ac:dyDescent="0.25">
      <c r="A30" s="36"/>
      <c r="B30" s="25"/>
      <c r="C30" s="25"/>
    </row>
    <row r="31" spans="1:3" x14ac:dyDescent="0.25">
      <c r="A31" s="36"/>
      <c r="B31" s="25"/>
      <c r="C31" s="25"/>
    </row>
    <row r="32" spans="1:3" x14ac:dyDescent="0.25">
      <c r="A32" s="36"/>
      <c r="B32" s="25"/>
      <c r="C32" s="25"/>
    </row>
    <row r="33" spans="1:3" x14ac:dyDescent="0.25">
      <c r="A33" s="36"/>
      <c r="B33" s="25"/>
      <c r="C33" s="25"/>
    </row>
    <row r="34" spans="1:3" x14ac:dyDescent="0.25">
      <c r="A34" s="36"/>
      <c r="B34" s="25"/>
      <c r="C34" s="25"/>
    </row>
    <row r="35" spans="1:3" x14ac:dyDescent="0.25">
      <c r="A35" s="36"/>
      <c r="B35" s="25"/>
      <c r="C35" s="25"/>
    </row>
    <row r="36" spans="1:3" x14ac:dyDescent="0.25">
      <c r="A36" s="36"/>
      <c r="B36" s="25"/>
      <c r="C36" s="25"/>
    </row>
    <row r="37" spans="1:3" x14ac:dyDescent="0.25">
      <c r="A37" s="36"/>
      <c r="B37" s="25"/>
      <c r="C37" s="25"/>
    </row>
    <row r="38" spans="1:3" x14ac:dyDescent="0.25">
      <c r="A38" s="36"/>
      <c r="B38" s="25"/>
      <c r="C38" s="25"/>
    </row>
    <row r="39" spans="1:3" x14ac:dyDescent="0.25">
      <c r="A39" s="36"/>
      <c r="B39" s="25"/>
      <c r="C39" s="25"/>
    </row>
    <row r="40" spans="1:3" x14ac:dyDescent="0.25">
      <c r="A40" s="36"/>
      <c r="B40" s="25"/>
      <c r="C40" s="25"/>
    </row>
    <row r="41" spans="1:3" x14ac:dyDescent="0.25">
      <c r="A41" s="36"/>
      <c r="B41" s="25"/>
      <c r="C41" s="25"/>
    </row>
    <row r="42" spans="1:3" x14ac:dyDescent="0.25">
      <c r="A42" s="36"/>
      <c r="B42" s="25"/>
      <c r="C42" s="25"/>
    </row>
    <row r="43" spans="1:3" x14ac:dyDescent="0.25">
      <c r="A43" s="36"/>
      <c r="B43" s="25"/>
      <c r="C43" s="25"/>
    </row>
    <row r="44" spans="1:3" x14ac:dyDescent="0.25">
      <c r="A44" s="36"/>
      <c r="B44" s="25"/>
      <c r="C44" s="25"/>
    </row>
    <row r="45" spans="1:3" x14ac:dyDescent="0.25">
      <c r="A45" s="36"/>
      <c r="B45" s="25"/>
      <c r="C45" s="25"/>
    </row>
    <row r="46" spans="1:3" x14ac:dyDescent="0.25">
      <c r="A46" s="36"/>
      <c r="B46" s="25"/>
      <c r="C46" s="25"/>
    </row>
    <row r="47" spans="1:3" x14ac:dyDescent="0.25">
      <c r="A47" s="36"/>
      <c r="B47" s="25"/>
      <c r="C47" s="25"/>
    </row>
    <row r="48" spans="1:3" x14ac:dyDescent="0.25">
      <c r="A48" s="36"/>
      <c r="B48" s="25"/>
      <c r="C48" s="25"/>
    </row>
    <row r="49" spans="1:3" x14ac:dyDescent="0.25">
      <c r="A49" s="36"/>
      <c r="B49" s="25"/>
      <c r="C49" s="25"/>
    </row>
    <row r="50" spans="1:3" x14ac:dyDescent="0.25">
      <c r="A50" s="36"/>
      <c r="B50" s="25"/>
      <c r="C50" s="25"/>
    </row>
    <row r="51" spans="1:3" x14ac:dyDescent="0.25">
      <c r="A51" s="36"/>
      <c r="B51" s="25"/>
      <c r="C51" s="25"/>
    </row>
    <row r="52" spans="1:3" x14ac:dyDescent="0.25">
      <c r="A52" s="36"/>
      <c r="B52" s="25"/>
      <c r="C52" s="25"/>
    </row>
    <row r="53" spans="1:3" x14ac:dyDescent="0.25">
      <c r="A53" s="36"/>
      <c r="B53" s="25"/>
      <c r="C53" s="25"/>
    </row>
    <row r="54" spans="1:3" x14ac:dyDescent="0.25">
      <c r="A54" s="36"/>
      <c r="B54" s="25"/>
      <c r="C54" s="25"/>
    </row>
    <row r="55" spans="1:3" x14ac:dyDescent="0.25">
      <c r="A55" s="36"/>
      <c r="B55" s="25"/>
      <c r="C55" s="25"/>
    </row>
    <row r="56" spans="1:3" x14ac:dyDescent="0.25">
      <c r="A56" s="36"/>
      <c r="B56" s="25"/>
      <c r="C56" s="25"/>
    </row>
    <row r="57" spans="1:3" x14ac:dyDescent="0.25">
      <c r="A57" s="36"/>
      <c r="B57" s="25"/>
      <c r="C57" s="25"/>
    </row>
    <row r="58" spans="1:3" x14ac:dyDescent="0.25">
      <c r="A58" s="36"/>
      <c r="B58" s="25"/>
      <c r="C58" s="25"/>
    </row>
    <row r="59" spans="1:3" x14ac:dyDescent="0.25">
      <c r="A59" s="36"/>
      <c r="B59" s="25"/>
      <c r="C59" s="25"/>
    </row>
    <row r="60" spans="1:3" x14ac:dyDescent="0.25">
      <c r="A60" s="36"/>
      <c r="B60" s="25"/>
      <c r="C60" s="25"/>
    </row>
    <row r="61" spans="1:3" x14ac:dyDescent="0.25">
      <c r="A61" s="36"/>
      <c r="B61" s="25"/>
      <c r="C61" s="25"/>
    </row>
    <row r="62" spans="1:3" x14ac:dyDescent="0.25">
      <c r="A62" s="36"/>
      <c r="B62" s="25"/>
      <c r="C62" s="25"/>
    </row>
    <row r="63" spans="1:3" x14ac:dyDescent="0.25">
      <c r="A63" s="36"/>
      <c r="B63" s="25"/>
      <c r="C63" s="25"/>
    </row>
    <row r="64" spans="1:3" x14ac:dyDescent="0.25">
      <c r="A64" s="36"/>
      <c r="B64" s="25"/>
      <c r="C64" s="25"/>
    </row>
    <row r="65" spans="1:3" x14ac:dyDescent="0.25">
      <c r="A65" s="36"/>
      <c r="B65" s="25"/>
      <c r="C65" s="25"/>
    </row>
    <row r="66" spans="1:3" x14ac:dyDescent="0.25">
      <c r="A66" s="36"/>
      <c r="B66" s="25"/>
      <c r="C66" s="25"/>
    </row>
    <row r="67" spans="1:3" x14ac:dyDescent="0.25">
      <c r="A67" s="36"/>
      <c r="B67" s="25"/>
      <c r="C67" s="25"/>
    </row>
    <row r="68" spans="1:3" x14ac:dyDescent="0.25">
      <c r="A68" s="36"/>
      <c r="B68" s="25"/>
      <c r="C68" s="25"/>
    </row>
    <row r="69" spans="1:3" x14ac:dyDescent="0.25">
      <c r="A69" s="36"/>
      <c r="B69" s="25"/>
      <c r="C69" s="25"/>
    </row>
    <row r="70" spans="1:3" x14ac:dyDescent="0.25">
      <c r="A70" s="36"/>
      <c r="B70" s="25"/>
      <c r="C70" s="25"/>
    </row>
    <row r="71" spans="1:3" x14ac:dyDescent="0.25">
      <c r="A71" s="36"/>
      <c r="B71" s="25"/>
      <c r="C71" s="25"/>
    </row>
    <row r="72" spans="1:3" x14ac:dyDescent="0.25">
      <c r="A72" s="36"/>
      <c r="B72" s="25"/>
      <c r="C72" s="25"/>
    </row>
    <row r="73" spans="1:3" x14ac:dyDescent="0.25">
      <c r="A73" s="36"/>
      <c r="B73" s="25"/>
      <c r="C73" s="25"/>
    </row>
    <row r="74" spans="1:3" x14ac:dyDescent="0.25">
      <c r="A74" s="36"/>
      <c r="B74" s="25"/>
      <c r="C74" s="25"/>
    </row>
    <row r="75" spans="1:3" x14ac:dyDescent="0.25">
      <c r="A75" s="36"/>
      <c r="B75" s="25"/>
      <c r="C75" s="25"/>
    </row>
    <row r="76" spans="1:3" x14ac:dyDescent="0.25">
      <c r="A76" s="36"/>
      <c r="B76" s="25"/>
      <c r="C76" s="25"/>
    </row>
    <row r="77" spans="1:3" x14ac:dyDescent="0.25">
      <c r="A77" s="36"/>
      <c r="B77" s="25"/>
      <c r="C77" s="25"/>
    </row>
    <row r="78" spans="1:3" x14ac:dyDescent="0.25">
      <c r="A78" s="36"/>
      <c r="B78" s="25"/>
      <c r="C78" s="25"/>
    </row>
    <row r="79" spans="1:3" x14ac:dyDescent="0.25">
      <c r="A79" s="36"/>
      <c r="B79" s="25"/>
      <c r="C79" s="25"/>
    </row>
    <row r="80" spans="1:3" x14ac:dyDescent="0.25">
      <c r="A80" s="36"/>
      <c r="B80" s="25"/>
      <c r="C80" s="25"/>
    </row>
    <row r="81" spans="1:3" x14ac:dyDescent="0.25">
      <c r="A81" s="36"/>
      <c r="B81" s="25"/>
      <c r="C81" s="25"/>
    </row>
    <row r="82" spans="1:3" x14ac:dyDescent="0.25">
      <c r="A82" s="36"/>
      <c r="B82" s="25"/>
      <c r="C82" s="25"/>
    </row>
    <row r="83" spans="1:3" x14ac:dyDescent="0.25">
      <c r="A83" s="36"/>
      <c r="B83" s="25"/>
      <c r="C83" s="25"/>
    </row>
    <row r="84" spans="1:3" x14ac:dyDescent="0.25">
      <c r="A84" s="36"/>
      <c r="B84" s="25"/>
      <c r="C84" s="25"/>
    </row>
    <row r="85" spans="1:3" x14ac:dyDescent="0.25">
      <c r="A85" s="36"/>
      <c r="B85" s="25"/>
      <c r="C85" s="25"/>
    </row>
    <row r="86" spans="1:3" x14ac:dyDescent="0.25">
      <c r="A86" s="36"/>
      <c r="B86" s="25"/>
      <c r="C86" s="25"/>
    </row>
    <row r="87" spans="1:3" x14ac:dyDescent="0.25">
      <c r="A87" s="36"/>
      <c r="B87" s="25"/>
      <c r="C87" s="25"/>
    </row>
    <row r="88" spans="1:3" x14ac:dyDescent="0.25">
      <c r="A88" s="36"/>
      <c r="B88" s="25"/>
      <c r="C88" s="25"/>
    </row>
    <row r="89" spans="1:3" x14ac:dyDescent="0.25">
      <c r="A89" s="36"/>
      <c r="B89" s="25"/>
      <c r="C89" s="25"/>
    </row>
    <row r="90" spans="1:3" x14ac:dyDescent="0.25">
      <c r="A90" s="36"/>
      <c r="B90" s="25"/>
      <c r="C90" s="25"/>
    </row>
    <row r="91" spans="1:3" x14ac:dyDescent="0.25">
      <c r="A91" s="36"/>
      <c r="B91" s="25"/>
      <c r="C91" s="25"/>
    </row>
    <row r="92" spans="1:3" x14ac:dyDescent="0.25">
      <c r="A92" s="36"/>
      <c r="B92" s="25"/>
      <c r="C92" s="25"/>
    </row>
    <row r="93" spans="1:3" x14ac:dyDescent="0.25">
      <c r="A93" s="36"/>
      <c r="B93" s="25"/>
      <c r="C93" s="25"/>
    </row>
    <row r="94" spans="1:3" x14ac:dyDescent="0.25">
      <c r="A94" s="36"/>
      <c r="B94" s="25"/>
      <c r="C94" s="25"/>
    </row>
    <row r="95" spans="1:3" x14ac:dyDescent="0.25">
      <c r="A95" s="36"/>
      <c r="B95" s="25"/>
      <c r="C95" s="25"/>
    </row>
    <row r="96" spans="1:3" x14ac:dyDescent="0.25">
      <c r="A96" s="36"/>
      <c r="B96" s="25"/>
      <c r="C96" s="25"/>
    </row>
    <row r="97" spans="1:3" x14ac:dyDescent="0.25">
      <c r="A97" s="36"/>
      <c r="B97" s="25"/>
      <c r="C97" s="25"/>
    </row>
    <row r="98" spans="1:3" x14ac:dyDescent="0.25">
      <c r="A98" s="36"/>
      <c r="B98" s="25"/>
      <c r="C98" s="25"/>
    </row>
    <row r="99" spans="1:3" x14ac:dyDescent="0.25">
      <c r="A99" s="36"/>
      <c r="B99" s="25"/>
      <c r="C99" s="25"/>
    </row>
    <row r="100" spans="1:3" x14ac:dyDescent="0.25">
      <c r="A100" s="36"/>
      <c r="B100" s="25"/>
      <c r="C100" s="25"/>
    </row>
    <row r="101" spans="1:3" x14ac:dyDescent="0.25">
      <c r="A101" s="36"/>
      <c r="B101" s="25"/>
      <c r="C101" s="25"/>
    </row>
    <row r="102" spans="1:3" x14ac:dyDescent="0.25">
      <c r="A102" s="36"/>
      <c r="B102" s="25"/>
      <c r="C102" s="25"/>
    </row>
    <row r="103" spans="1:3" x14ac:dyDescent="0.25">
      <c r="A103" s="36"/>
      <c r="B103" s="25"/>
      <c r="C103" s="25"/>
    </row>
    <row r="104" spans="1:3" x14ac:dyDescent="0.25">
      <c r="A104" s="36"/>
      <c r="B104" s="25"/>
      <c r="C104" s="25"/>
    </row>
    <row r="105" spans="1:3" x14ac:dyDescent="0.25">
      <c r="A105" s="36"/>
      <c r="B105" s="25"/>
      <c r="C105" s="25"/>
    </row>
    <row r="106" spans="1:3" x14ac:dyDescent="0.25">
      <c r="A106" s="36"/>
      <c r="B106" s="25"/>
      <c r="C106" s="25"/>
    </row>
    <row r="107" spans="1:3" x14ac:dyDescent="0.25">
      <c r="A107" s="36"/>
      <c r="B107" s="25"/>
      <c r="C107" s="25"/>
    </row>
    <row r="108" spans="1:3" x14ac:dyDescent="0.25">
      <c r="A108" s="36"/>
      <c r="B108" s="25"/>
      <c r="C108" s="25"/>
    </row>
    <row r="109" spans="1:3" x14ac:dyDescent="0.25">
      <c r="A109" s="36"/>
      <c r="B109" s="25"/>
      <c r="C109" s="25"/>
    </row>
    <row r="110" spans="1:3" x14ac:dyDescent="0.25">
      <c r="A110" s="36"/>
      <c r="B110" s="25"/>
      <c r="C110" s="25"/>
    </row>
    <row r="111" spans="1:3" x14ac:dyDescent="0.25">
      <c r="A111" s="36"/>
      <c r="B111" s="25"/>
      <c r="C111" s="25"/>
    </row>
    <row r="112" spans="1:3" x14ac:dyDescent="0.25">
      <c r="A112" s="36"/>
      <c r="B112" s="25"/>
      <c r="C112" s="25"/>
    </row>
    <row r="113" spans="1:3" x14ac:dyDescent="0.25">
      <c r="A113" s="36"/>
      <c r="B113" s="25"/>
      <c r="C113" s="25"/>
    </row>
    <row r="114" spans="1:3" x14ac:dyDescent="0.25">
      <c r="A114" s="36"/>
      <c r="B114" s="25"/>
      <c r="C114" s="25"/>
    </row>
    <row r="115" spans="1:3" x14ac:dyDescent="0.25">
      <c r="A115" s="36"/>
      <c r="B115" s="25"/>
      <c r="C115" s="25"/>
    </row>
    <row r="116" spans="1:3" x14ac:dyDescent="0.25">
      <c r="A116" s="36"/>
      <c r="B116" s="25"/>
      <c r="C116" s="25"/>
    </row>
    <row r="117" spans="1:3" x14ac:dyDescent="0.25">
      <c r="A117" s="36"/>
      <c r="B117" s="25"/>
      <c r="C117" s="25"/>
    </row>
    <row r="118" spans="1:3" x14ac:dyDescent="0.25">
      <c r="A118" s="36"/>
      <c r="B118" s="25"/>
      <c r="C118" s="25"/>
    </row>
    <row r="119" spans="1:3" x14ac:dyDescent="0.25">
      <c r="A119" s="36"/>
      <c r="B119" s="25"/>
      <c r="C119" s="25"/>
    </row>
    <row r="120" spans="1:3" x14ac:dyDescent="0.25">
      <c r="A120" s="36"/>
      <c r="B120" s="25"/>
      <c r="C120" s="25"/>
    </row>
    <row r="121" spans="1:3" x14ac:dyDescent="0.25">
      <c r="A121" s="36"/>
      <c r="B121" s="25"/>
      <c r="C121" s="25"/>
    </row>
    <row r="122" spans="1:3" x14ac:dyDescent="0.25">
      <c r="A122" s="36"/>
      <c r="B122" s="25"/>
      <c r="C122" s="25"/>
    </row>
    <row r="123" spans="1:3" x14ac:dyDescent="0.25">
      <c r="A123" s="36"/>
      <c r="B123" s="25"/>
      <c r="C123" s="25"/>
    </row>
    <row r="124" spans="1:3" x14ac:dyDescent="0.25">
      <c r="A124" s="36"/>
      <c r="B124" s="25"/>
      <c r="C124" s="25"/>
    </row>
    <row r="125" spans="1:3" x14ac:dyDescent="0.25">
      <c r="A125" s="36"/>
      <c r="B125" s="25"/>
      <c r="C125" s="25"/>
    </row>
    <row r="126" spans="1:3" x14ac:dyDescent="0.25">
      <c r="A126" s="36"/>
      <c r="B126" s="25"/>
      <c r="C126" s="25"/>
    </row>
    <row r="127" spans="1:3" x14ac:dyDescent="0.25">
      <c r="A127" s="36"/>
      <c r="B127" s="25"/>
      <c r="C127" s="25"/>
    </row>
    <row r="128" spans="1:3" x14ac:dyDescent="0.25">
      <c r="A128" s="36"/>
      <c r="B128" s="25"/>
      <c r="C128" s="25"/>
    </row>
    <row r="129" spans="1:3" x14ac:dyDescent="0.25">
      <c r="A129" s="36"/>
      <c r="B129" s="25"/>
      <c r="C129" s="25"/>
    </row>
    <row r="130" spans="1:3" x14ac:dyDescent="0.25">
      <c r="A130" s="36"/>
      <c r="B130" s="25"/>
      <c r="C130" s="25"/>
    </row>
    <row r="131" spans="1:3" x14ac:dyDescent="0.25">
      <c r="A131" s="36"/>
      <c r="B131" s="25"/>
      <c r="C131" s="25"/>
    </row>
    <row r="132" spans="1:3" x14ac:dyDescent="0.25">
      <c r="A132" s="36"/>
      <c r="B132" s="25"/>
      <c r="C132" s="25"/>
    </row>
    <row r="133" spans="1:3" x14ac:dyDescent="0.25">
      <c r="A133" s="36"/>
      <c r="B133" s="25"/>
      <c r="C133" s="25"/>
    </row>
    <row r="134" spans="1:3" x14ac:dyDescent="0.25">
      <c r="A134" s="36"/>
      <c r="B134" s="25"/>
      <c r="C134" s="25"/>
    </row>
    <row r="135" spans="1:3" x14ac:dyDescent="0.25">
      <c r="A135" s="36"/>
      <c r="B135" s="25"/>
      <c r="C135" s="25"/>
    </row>
    <row r="136" spans="1:3" x14ac:dyDescent="0.25">
      <c r="A136" s="36"/>
      <c r="B136" s="25"/>
      <c r="C136" s="25"/>
    </row>
    <row r="137" spans="1:3" x14ac:dyDescent="0.25">
      <c r="A137" s="36"/>
      <c r="B137" s="25"/>
      <c r="C137" s="25"/>
    </row>
    <row r="138" spans="1:3" x14ac:dyDescent="0.25">
      <c r="A138" s="36"/>
      <c r="B138" s="25"/>
      <c r="C138" s="25"/>
    </row>
    <row r="139" spans="1:3" x14ac:dyDescent="0.25">
      <c r="A139" s="36"/>
      <c r="B139" s="25"/>
      <c r="C139" s="25"/>
    </row>
    <row r="140" spans="1:3" x14ac:dyDescent="0.25">
      <c r="A140" s="36"/>
      <c r="B140" s="25"/>
      <c r="C140" s="25"/>
    </row>
    <row r="141" spans="1:3" x14ac:dyDescent="0.25">
      <c r="A141" s="36"/>
      <c r="B141" s="25"/>
      <c r="C141" s="25"/>
    </row>
    <row r="142" spans="1:3" x14ac:dyDescent="0.25">
      <c r="A142" s="36"/>
      <c r="B142" s="25"/>
      <c r="C142" s="25"/>
    </row>
    <row r="143" spans="1:3" x14ac:dyDescent="0.25">
      <c r="A143" s="36"/>
      <c r="B143" s="25"/>
      <c r="C143" s="25"/>
    </row>
    <row r="144" spans="1:3" x14ac:dyDescent="0.25">
      <c r="A144" s="36"/>
      <c r="B144" s="25"/>
      <c r="C144" s="25"/>
    </row>
    <row r="145" spans="1:3" x14ac:dyDescent="0.25">
      <c r="A145" s="36"/>
      <c r="B145" s="25"/>
      <c r="C145" s="25"/>
    </row>
    <row r="146" spans="1:3" x14ac:dyDescent="0.25">
      <c r="A146" s="36"/>
      <c r="B146" s="25"/>
      <c r="C146" s="25"/>
    </row>
    <row r="147" spans="1:3" x14ac:dyDescent="0.25">
      <c r="A147" s="36"/>
      <c r="B147" s="25"/>
      <c r="C147" s="25"/>
    </row>
    <row r="148" spans="1:3" x14ac:dyDescent="0.25">
      <c r="A148" s="36"/>
      <c r="B148" s="25"/>
      <c r="C148" s="25"/>
    </row>
    <row r="149" spans="1:3" x14ac:dyDescent="0.25">
      <c r="A149" s="36"/>
      <c r="B149" s="25"/>
      <c r="C149" s="25"/>
    </row>
    <row r="150" spans="1:3" x14ac:dyDescent="0.25">
      <c r="A150" s="36"/>
      <c r="B150" s="25"/>
      <c r="C150" s="25"/>
    </row>
    <row r="151" spans="1:3" x14ac:dyDescent="0.25">
      <c r="A151" s="36"/>
      <c r="B151" s="25"/>
      <c r="C151" s="25"/>
    </row>
    <row r="152" spans="1:3" x14ac:dyDescent="0.25">
      <c r="A152" s="36"/>
      <c r="B152" s="25"/>
      <c r="C152" s="25"/>
    </row>
    <row r="153" spans="1:3" x14ac:dyDescent="0.25">
      <c r="A153" s="36"/>
      <c r="B153" s="25"/>
      <c r="C153" s="25"/>
    </row>
    <row r="154" spans="1:3" x14ac:dyDescent="0.25">
      <c r="A154" s="36"/>
      <c r="B154" s="25"/>
      <c r="C154" s="25"/>
    </row>
    <row r="155" spans="1:3" x14ac:dyDescent="0.25">
      <c r="A155" s="36"/>
      <c r="B155" s="25"/>
      <c r="C155" s="25"/>
    </row>
    <row r="156" spans="1:3" x14ac:dyDescent="0.25">
      <c r="A156" s="36"/>
      <c r="B156" s="25"/>
      <c r="C156" s="25"/>
    </row>
    <row r="157" spans="1:3" x14ac:dyDescent="0.25">
      <c r="A157" s="36"/>
      <c r="B157" s="25"/>
      <c r="C157" s="25"/>
    </row>
    <row r="158" spans="1:3" x14ac:dyDescent="0.25">
      <c r="A158" s="36"/>
      <c r="B158" s="25"/>
      <c r="C158" s="25"/>
    </row>
    <row r="159" spans="1:3" x14ac:dyDescent="0.25">
      <c r="A159" s="36"/>
      <c r="B159" s="25"/>
      <c r="C159" s="25"/>
    </row>
    <row r="160" spans="1:3" x14ac:dyDescent="0.25">
      <c r="A160" s="36"/>
      <c r="B160" s="25"/>
      <c r="C160" s="25"/>
    </row>
    <row r="161" spans="1:3" x14ac:dyDescent="0.25">
      <c r="A161" s="36"/>
      <c r="B161" s="25"/>
      <c r="C161" s="25"/>
    </row>
    <row r="162" spans="1:3" x14ac:dyDescent="0.25">
      <c r="A162" s="36"/>
      <c r="B162" s="25"/>
      <c r="C162" s="25"/>
    </row>
    <row r="163" spans="1:3" x14ac:dyDescent="0.25">
      <c r="A163" s="36"/>
      <c r="B163" s="25"/>
      <c r="C163" s="25"/>
    </row>
    <row r="164" spans="1:3" x14ac:dyDescent="0.25">
      <c r="A164" s="36"/>
      <c r="B164" s="25"/>
      <c r="C164" s="25"/>
    </row>
    <row r="165" spans="1:3" x14ac:dyDescent="0.25">
      <c r="A165" s="36"/>
      <c r="B165" s="25"/>
      <c r="C165" s="25"/>
    </row>
    <row r="166" spans="1:3" x14ac:dyDescent="0.25">
      <c r="A166" s="36"/>
      <c r="B166" s="25"/>
      <c r="C166" s="25"/>
    </row>
    <row r="167" spans="1:3" x14ac:dyDescent="0.25">
      <c r="A167" s="36"/>
      <c r="B167" s="25"/>
      <c r="C167" s="25"/>
    </row>
    <row r="168" spans="1:3" x14ac:dyDescent="0.25">
      <c r="A168" s="36"/>
      <c r="B168" s="25"/>
      <c r="C168" s="25"/>
    </row>
    <row r="169" spans="1:3" x14ac:dyDescent="0.25">
      <c r="A169" s="36"/>
      <c r="B169" s="25"/>
      <c r="C169" s="25"/>
    </row>
    <row r="170" spans="1:3" x14ac:dyDescent="0.25">
      <c r="A170" s="36"/>
      <c r="B170" s="25"/>
      <c r="C170" s="25"/>
    </row>
    <row r="171" spans="1:3" x14ac:dyDescent="0.25">
      <c r="A171" s="36"/>
      <c r="B171" s="25"/>
      <c r="C171" s="25"/>
    </row>
    <row r="172" spans="1:3" x14ac:dyDescent="0.25">
      <c r="A172" s="36"/>
      <c r="B172" s="25"/>
      <c r="C172" s="25"/>
    </row>
    <row r="173" spans="1:3" x14ac:dyDescent="0.25">
      <c r="A173" s="36"/>
      <c r="B173" s="25"/>
      <c r="C173" s="25"/>
    </row>
    <row r="174" spans="1:3" x14ac:dyDescent="0.25">
      <c r="A174" s="36"/>
      <c r="B174" s="25"/>
      <c r="C174" s="25"/>
    </row>
    <row r="175" spans="1:3" x14ac:dyDescent="0.25">
      <c r="A175" s="36"/>
      <c r="B175" s="25"/>
      <c r="C175" s="25"/>
    </row>
    <row r="176" spans="1:3" x14ac:dyDescent="0.25">
      <c r="A176" s="36"/>
      <c r="B176" s="25"/>
      <c r="C176" s="25"/>
    </row>
    <row r="177" spans="1:3" x14ac:dyDescent="0.25">
      <c r="A177" s="36"/>
      <c r="B177" s="25"/>
      <c r="C177" s="25"/>
    </row>
    <row r="178" spans="1:3" x14ac:dyDescent="0.25">
      <c r="A178" s="36"/>
      <c r="B178" s="25"/>
      <c r="C178" s="25"/>
    </row>
    <row r="179" spans="1:3" x14ac:dyDescent="0.25">
      <c r="A179" s="36"/>
      <c r="B179" s="25"/>
      <c r="C179" s="25"/>
    </row>
    <row r="180" spans="1:3" x14ac:dyDescent="0.25">
      <c r="A180" s="36"/>
      <c r="B180" s="25"/>
      <c r="C180" s="25"/>
    </row>
    <row r="181" spans="1:3" x14ac:dyDescent="0.25">
      <c r="A181" s="36"/>
      <c r="B181" s="25"/>
      <c r="C181" s="25"/>
    </row>
    <row r="182" spans="1:3" x14ac:dyDescent="0.25">
      <c r="A182" s="36"/>
      <c r="B182" s="25"/>
      <c r="C182" s="25"/>
    </row>
    <row r="183" spans="1:3" x14ac:dyDescent="0.25">
      <c r="A183" s="36"/>
      <c r="B183" s="25"/>
      <c r="C183" s="25"/>
    </row>
    <row r="184" spans="1:3" x14ac:dyDescent="0.25">
      <c r="A184" s="36"/>
      <c r="B184" s="25"/>
      <c r="C184" s="25"/>
    </row>
    <row r="185" spans="1:3" x14ac:dyDescent="0.25">
      <c r="A185" s="36"/>
      <c r="B185" s="25"/>
      <c r="C185" s="25"/>
    </row>
    <row r="186" spans="1:3" x14ac:dyDescent="0.25">
      <c r="A186" s="36"/>
      <c r="B186" s="25"/>
      <c r="C186" s="25"/>
    </row>
    <row r="187" spans="1:3" x14ac:dyDescent="0.25">
      <c r="A187" s="36"/>
      <c r="B187" s="25"/>
      <c r="C187" s="25"/>
    </row>
    <row r="188" spans="1:3" x14ac:dyDescent="0.25">
      <c r="A188" s="36"/>
      <c r="B188" s="25"/>
      <c r="C188" s="25"/>
    </row>
    <row r="189" spans="1:3" x14ac:dyDescent="0.25">
      <c r="A189" s="36"/>
      <c r="B189" s="25"/>
      <c r="C189" s="25"/>
    </row>
    <row r="190" spans="1:3" x14ac:dyDescent="0.25">
      <c r="A190" s="36"/>
      <c r="B190" s="25"/>
      <c r="C190" s="25"/>
    </row>
    <row r="191" spans="1:3" x14ac:dyDescent="0.25">
      <c r="A191" s="36"/>
      <c r="B191" s="25"/>
      <c r="C191" s="25"/>
    </row>
    <row r="192" spans="1:3" x14ac:dyDescent="0.25">
      <c r="A192" s="36"/>
      <c r="B192" s="25"/>
      <c r="C192" s="25"/>
    </row>
    <row r="193" spans="1:3" x14ac:dyDescent="0.25">
      <c r="A193" s="36"/>
      <c r="B193" s="25"/>
      <c r="C193" s="25"/>
    </row>
    <row r="194" spans="1:3" x14ac:dyDescent="0.25">
      <c r="A194" s="36"/>
      <c r="B194" s="25"/>
      <c r="C194" s="25"/>
    </row>
    <row r="195" spans="1:3" x14ac:dyDescent="0.25">
      <c r="A195" s="36"/>
      <c r="B195" s="25"/>
      <c r="C195" s="25"/>
    </row>
    <row r="196" spans="1:3" x14ac:dyDescent="0.25">
      <c r="A196" s="36"/>
      <c r="B196" s="25"/>
      <c r="C196" s="25"/>
    </row>
    <row r="197" spans="1:3" x14ac:dyDescent="0.25">
      <c r="A197" s="36"/>
      <c r="B197" s="25"/>
      <c r="C197" s="25"/>
    </row>
    <row r="198" spans="1:3" x14ac:dyDescent="0.25">
      <c r="A198" s="36"/>
      <c r="B198" s="25"/>
      <c r="C198" s="25"/>
    </row>
    <row r="199" spans="1:3" x14ac:dyDescent="0.25">
      <c r="A199" s="36"/>
      <c r="B199" s="25"/>
      <c r="C199" s="25"/>
    </row>
    <row r="200" spans="1:3" x14ac:dyDescent="0.25">
      <c r="A200" s="36"/>
      <c r="B200" s="25"/>
      <c r="C200" s="25"/>
    </row>
    <row r="201" spans="1:3" x14ac:dyDescent="0.25">
      <c r="A201" s="36"/>
      <c r="B201" s="25"/>
      <c r="C201" s="25"/>
    </row>
    <row r="202" spans="1:3" x14ac:dyDescent="0.25">
      <c r="A202" s="36"/>
      <c r="B202" s="25"/>
      <c r="C202" s="25"/>
    </row>
    <row r="203" spans="1:3" x14ac:dyDescent="0.25">
      <c r="A203" s="36"/>
      <c r="B203" s="25"/>
      <c r="C203" s="25"/>
    </row>
    <row r="204" spans="1:3" x14ac:dyDescent="0.25">
      <c r="A204" s="36"/>
      <c r="B204" s="25"/>
      <c r="C204" s="25"/>
    </row>
    <row r="205" spans="1:3" x14ac:dyDescent="0.25">
      <c r="A205" s="36"/>
      <c r="B205" s="25"/>
      <c r="C205" s="25"/>
    </row>
    <row r="206" spans="1:3" x14ac:dyDescent="0.25">
      <c r="A206" s="36"/>
      <c r="B206" s="25"/>
      <c r="C206" s="25"/>
    </row>
    <row r="207" spans="1:3" x14ac:dyDescent="0.25">
      <c r="A207" s="36"/>
      <c r="B207" s="25"/>
      <c r="C207" s="25"/>
    </row>
    <row r="208" spans="1:3" x14ac:dyDescent="0.25">
      <c r="A208" s="36"/>
      <c r="B208" s="25"/>
      <c r="C208" s="25"/>
    </row>
    <row r="209" spans="1:3" x14ac:dyDescent="0.25">
      <c r="A209" s="36"/>
      <c r="B209" s="25"/>
      <c r="C209" s="25"/>
    </row>
    <row r="210" spans="1:3" x14ac:dyDescent="0.25">
      <c r="A210" s="36"/>
      <c r="B210" s="25"/>
      <c r="C210" s="25"/>
    </row>
    <row r="211" spans="1:3" x14ac:dyDescent="0.25">
      <c r="A211" s="36"/>
      <c r="B211" s="25"/>
      <c r="C211" s="25"/>
    </row>
    <row r="212" spans="1:3" x14ac:dyDescent="0.25">
      <c r="A212" s="36"/>
      <c r="B212" s="25"/>
      <c r="C212" s="25"/>
    </row>
    <row r="213" spans="1:3" x14ac:dyDescent="0.25">
      <c r="A213" s="36"/>
      <c r="B213" s="25"/>
      <c r="C213" s="25"/>
    </row>
    <row r="214" spans="1:3" x14ac:dyDescent="0.25">
      <c r="A214" s="36"/>
      <c r="B214" s="25"/>
      <c r="C214" s="25"/>
    </row>
    <row r="215" spans="1:3" x14ac:dyDescent="0.25">
      <c r="A215" s="36"/>
      <c r="B215" s="25"/>
      <c r="C215" s="25"/>
    </row>
    <row r="216" spans="1:3" x14ac:dyDescent="0.25">
      <c r="A216" s="36"/>
      <c r="B216" s="25"/>
      <c r="C216" s="25"/>
    </row>
    <row r="217" spans="1:3" x14ac:dyDescent="0.25">
      <c r="A217" s="36"/>
      <c r="B217" s="25"/>
      <c r="C217" s="25"/>
    </row>
    <row r="218" spans="1:3" x14ac:dyDescent="0.25">
      <c r="A218" s="36"/>
      <c r="B218" s="25"/>
      <c r="C218" s="25"/>
    </row>
    <row r="219" spans="1:3" x14ac:dyDescent="0.25">
      <c r="A219" s="36"/>
      <c r="B219" s="25"/>
      <c r="C219" s="25"/>
    </row>
    <row r="220" spans="1:3" x14ac:dyDescent="0.25">
      <c r="A220" s="36"/>
      <c r="B220" s="25"/>
      <c r="C220" s="25"/>
    </row>
    <row r="221" spans="1:3" x14ac:dyDescent="0.25">
      <c r="A221" s="36"/>
      <c r="B221" s="25"/>
      <c r="C221" s="25"/>
    </row>
    <row r="222" spans="1:3" x14ac:dyDescent="0.25">
      <c r="A222" s="36"/>
      <c r="B222" s="25"/>
      <c r="C222" s="25"/>
    </row>
    <row r="223" spans="1:3" x14ac:dyDescent="0.25">
      <c r="A223" s="36"/>
      <c r="B223" s="25"/>
      <c r="C223" s="25"/>
    </row>
    <row r="224" spans="1:3" x14ac:dyDescent="0.25">
      <c r="A224" s="36"/>
      <c r="B224" s="25"/>
      <c r="C224" s="25"/>
    </row>
    <row r="225" spans="1:3" x14ac:dyDescent="0.25">
      <c r="A225" s="36"/>
      <c r="B225" s="25"/>
      <c r="C225" s="25"/>
    </row>
    <row r="226" spans="1:3" x14ac:dyDescent="0.25">
      <c r="A226" s="36"/>
      <c r="B226" s="25"/>
      <c r="C226" s="25"/>
    </row>
    <row r="227" spans="1:3" x14ac:dyDescent="0.25">
      <c r="A227" s="36"/>
      <c r="B227" s="25"/>
      <c r="C227" s="25"/>
    </row>
    <row r="228" spans="1:3" x14ac:dyDescent="0.25">
      <c r="A228" s="36"/>
      <c r="B228" s="25"/>
      <c r="C228" s="25"/>
    </row>
    <row r="229" spans="1:3" x14ac:dyDescent="0.25">
      <c r="A229" s="36"/>
      <c r="B229" s="25"/>
      <c r="C229" s="25"/>
    </row>
    <row r="230" spans="1:3" x14ac:dyDescent="0.25">
      <c r="A230" s="36"/>
      <c r="B230" s="25"/>
      <c r="C230" s="25"/>
    </row>
    <row r="231" spans="1:3" x14ac:dyDescent="0.25">
      <c r="A231" s="36"/>
      <c r="B231" s="25"/>
      <c r="C231" s="25"/>
    </row>
    <row r="232" spans="1:3" x14ac:dyDescent="0.25">
      <c r="A232" s="36"/>
      <c r="B232" s="25"/>
      <c r="C232" s="25"/>
    </row>
    <row r="233" spans="1:3" x14ac:dyDescent="0.25">
      <c r="A233" s="36"/>
      <c r="B233" s="25"/>
      <c r="C233" s="25"/>
    </row>
    <row r="234" spans="1:3" x14ac:dyDescent="0.25">
      <c r="A234" s="36"/>
      <c r="B234" s="25"/>
      <c r="C234" s="25"/>
    </row>
    <row r="235" spans="1:3" x14ac:dyDescent="0.25">
      <c r="A235" s="36"/>
      <c r="B235" s="25"/>
      <c r="C235" s="25"/>
    </row>
    <row r="236" spans="1:3" x14ac:dyDescent="0.25">
      <c r="A236" s="36"/>
      <c r="B236" s="25"/>
      <c r="C236" s="25"/>
    </row>
    <row r="237" spans="1:3" x14ac:dyDescent="0.25">
      <c r="A237" s="36"/>
      <c r="B237" s="25"/>
      <c r="C237" s="25"/>
    </row>
    <row r="238" spans="1:3" x14ac:dyDescent="0.25">
      <c r="A238" s="36"/>
      <c r="B238" s="25"/>
      <c r="C238" s="25"/>
    </row>
    <row r="239" spans="1:3" x14ac:dyDescent="0.25">
      <c r="A239" s="36"/>
      <c r="B239" s="25"/>
      <c r="C239" s="25"/>
    </row>
    <row r="240" spans="1:3" x14ac:dyDescent="0.25">
      <c r="A240" s="36"/>
      <c r="B240" s="25"/>
      <c r="C240" s="25"/>
    </row>
    <row r="241" spans="1:3" x14ac:dyDescent="0.25">
      <c r="A241" s="36"/>
      <c r="B241" s="25"/>
      <c r="C241" s="25"/>
    </row>
    <row r="242" spans="1:3" x14ac:dyDescent="0.25">
      <c r="A242" s="36"/>
      <c r="B242" s="25"/>
      <c r="C242" s="25"/>
    </row>
    <row r="243" spans="1:3" x14ac:dyDescent="0.25">
      <c r="A243" s="36"/>
      <c r="B243" s="25"/>
      <c r="C243" s="25"/>
    </row>
    <row r="244" spans="1:3" x14ac:dyDescent="0.25">
      <c r="A244" s="36"/>
      <c r="B244" s="25"/>
      <c r="C244" s="25"/>
    </row>
    <row r="245" spans="1:3" x14ac:dyDescent="0.25">
      <c r="A245" s="36"/>
      <c r="B245" s="25"/>
      <c r="C245" s="25"/>
    </row>
    <row r="246" spans="1:3" x14ac:dyDescent="0.25">
      <c r="A246" s="36"/>
      <c r="B246" s="25"/>
      <c r="C246" s="25"/>
    </row>
    <row r="247" spans="1:3" x14ac:dyDescent="0.25">
      <c r="A247" s="36"/>
      <c r="B247" s="25"/>
      <c r="C247" s="25"/>
    </row>
    <row r="248" spans="1:3" x14ac:dyDescent="0.25">
      <c r="A248" s="36"/>
      <c r="B248" s="25"/>
      <c r="C248" s="25"/>
    </row>
    <row r="249" spans="1:3" x14ac:dyDescent="0.25">
      <c r="A249" s="36"/>
      <c r="B249" s="25"/>
      <c r="C249" s="25"/>
    </row>
    <row r="250" spans="1:3" x14ac:dyDescent="0.25">
      <c r="A250" s="36"/>
      <c r="B250" s="25"/>
      <c r="C250" s="25"/>
    </row>
    <row r="251" spans="1:3" x14ac:dyDescent="0.25">
      <c r="A251" s="36"/>
      <c r="B251" s="25"/>
      <c r="C251" s="25"/>
    </row>
    <row r="252" spans="1:3" x14ac:dyDescent="0.25">
      <c r="A252" s="36"/>
      <c r="B252" s="25"/>
      <c r="C252" s="25"/>
    </row>
    <row r="253" spans="1:3" x14ac:dyDescent="0.25">
      <c r="A253" s="36"/>
      <c r="B253" s="25"/>
      <c r="C253" s="25"/>
    </row>
    <row r="254" spans="1:3" x14ac:dyDescent="0.25">
      <c r="A254" s="36"/>
      <c r="B254" s="25"/>
      <c r="C254" s="25"/>
    </row>
    <row r="255" spans="1:3" x14ac:dyDescent="0.25">
      <c r="A255" s="36"/>
      <c r="B255" s="25"/>
      <c r="C255" s="25"/>
    </row>
    <row r="256" spans="1:3" x14ac:dyDescent="0.25">
      <c r="A256" s="36"/>
      <c r="B256" s="25"/>
      <c r="C256" s="25"/>
    </row>
    <row r="257" spans="1:3" x14ac:dyDescent="0.25">
      <c r="A257" s="36"/>
      <c r="B257" s="25"/>
      <c r="C257" s="25"/>
    </row>
    <row r="258" spans="1:3" x14ac:dyDescent="0.25">
      <c r="A258" s="36"/>
      <c r="B258" s="25"/>
      <c r="C258" s="25"/>
    </row>
    <row r="259" spans="1:3" x14ac:dyDescent="0.25">
      <c r="A259" s="36"/>
      <c r="B259" s="25"/>
      <c r="C259" s="25"/>
    </row>
    <row r="260" spans="1:3" x14ac:dyDescent="0.25">
      <c r="A260" s="36"/>
      <c r="B260" s="25"/>
      <c r="C260" s="25"/>
    </row>
    <row r="261" spans="1:3" x14ac:dyDescent="0.25">
      <c r="A261" s="36"/>
      <c r="B261" s="25"/>
      <c r="C261" s="25"/>
    </row>
    <row r="262" spans="1:3" x14ac:dyDescent="0.25">
      <c r="A262" s="36"/>
      <c r="B262" s="25"/>
      <c r="C262" s="25"/>
    </row>
    <row r="263" spans="1:3" x14ac:dyDescent="0.25">
      <c r="A263" s="36"/>
      <c r="B263" s="25"/>
      <c r="C263" s="25"/>
    </row>
    <row r="264" spans="1:3" x14ac:dyDescent="0.25">
      <c r="A264" s="36"/>
      <c r="B264" s="25"/>
      <c r="C264" s="25"/>
    </row>
    <row r="265" spans="1:3" x14ac:dyDescent="0.25">
      <c r="A265" s="36"/>
      <c r="B265" s="25"/>
      <c r="C265" s="25"/>
    </row>
    <row r="266" spans="1:3" x14ac:dyDescent="0.25">
      <c r="A266" s="36"/>
      <c r="B266" s="25"/>
      <c r="C266" s="25"/>
    </row>
    <row r="267" spans="1:3" x14ac:dyDescent="0.25">
      <c r="A267" s="36"/>
      <c r="B267" s="25"/>
      <c r="C267" s="25"/>
    </row>
    <row r="268" spans="1:3" x14ac:dyDescent="0.25">
      <c r="A268" s="36"/>
      <c r="B268" s="25"/>
      <c r="C268" s="25"/>
    </row>
    <row r="269" spans="1:3" x14ac:dyDescent="0.25">
      <c r="A269" s="36"/>
      <c r="B269" s="25"/>
      <c r="C269" s="25"/>
    </row>
    <row r="270" spans="1:3" x14ac:dyDescent="0.25">
      <c r="A270" s="36"/>
      <c r="B270" s="25"/>
      <c r="C270" s="25"/>
    </row>
    <row r="271" spans="1:3" x14ac:dyDescent="0.25">
      <c r="A271" s="36"/>
      <c r="B271" s="25"/>
      <c r="C271" s="25"/>
    </row>
    <row r="272" spans="1:3" x14ac:dyDescent="0.25">
      <c r="A272" s="36"/>
      <c r="B272" s="25"/>
      <c r="C272" s="25"/>
    </row>
    <row r="273" spans="1:3" x14ac:dyDescent="0.25">
      <c r="A273" s="36"/>
      <c r="B273" s="25"/>
      <c r="C273" s="25"/>
    </row>
    <row r="274" spans="1:3" x14ac:dyDescent="0.25">
      <c r="A274" s="36"/>
      <c r="B274" s="25"/>
      <c r="C274" s="25"/>
    </row>
    <row r="275" spans="1:3" x14ac:dyDescent="0.25">
      <c r="A275" s="36"/>
      <c r="B275" s="25"/>
      <c r="C275" s="25"/>
    </row>
    <row r="276" spans="1:3" x14ac:dyDescent="0.25">
      <c r="A276" s="36"/>
      <c r="B276" s="25"/>
      <c r="C276" s="25"/>
    </row>
    <row r="277" spans="1:3" x14ac:dyDescent="0.25">
      <c r="A277" s="36"/>
      <c r="B277" s="25"/>
      <c r="C277" s="25"/>
    </row>
    <row r="278" spans="1:3" x14ac:dyDescent="0.25">
      <c r="A278" s="36"/>
      <c r="B278" s="25"/>
      <c r="C278" s="25"/>
    </row>
    <row r="279" spans="1:3" x14ac:dyDescent="0.25">
      <c r="A279" s="36"/>
      <c r="B279" s="25"/>
      <c r="C279" s="25"/>
    </row>
    <row r="280" spans="1:3" x14ac:dyDescent="0.25">
      <c r="A280" s="36"/>
      <c r="B280" s="25"/>
      <c r="C280" s="25"/>
    </row>
    <row r="281" spans="1:3" x14ac:dyDescent="0.25">
      <c r="A281" s="36"/>
      <c r="B281" s="25"/>
      <c r="C281" s="25"/>
    </row>
    <row r="282" spans="1:3" x14ac:dyDescent="0.25">
      <c r="A282" s="36"/>
      <c r="B282" s="25"/>
      <c r="C282" s="25"/>
    </row>
    <row r="283" spans="1:3" x14ac:dyDescent="0.25">
      <c r="A283" s="36"/>
      <c r="B283" s="25"/>
      <c r="C283" s="25"/>
    </row>
    <row r="284" spans="1:3" x14ac:dyDescent="0.25">
      <c r="A284" s="36"/>
      <c r="B284" s="25"/>
      <c r="C284" s="25"/>
    </row>
    <row r="285" spans="1:3" x14ac:dyDescent="0.25">
      <c r="A285" s="36"/>
      <c r="B285" s="25"/>
      <c r="C285" s="25"/>
    </row>
    <row r="286" spans="1:3" x14ac:dyDescent="0.25">
      <c r="A286" s="36"/>
      <c r="B286" s="25"/>
      <c r="C286" s="25"/>
    </row>
    <row r="287" spans="1:3" x14ac:dyDescent="0.25">
      <c r="A287" s="36"/>
      <c r="B287" s="25"/>
      <c r="C287" s="25"/>
    </row>
    <row r="288" spans="1:3" x14ac:dyDescent="0.25">
      <c r="A288" s="36"/>
      <c r="B288" s="25"/>
      <c r="C288" s="25"/>
    </row>
    <row r="289" spans="1:3" x14ac:dyDescent="0.25">
      <c r="A289" s="36"/>
      <c r="B289" s="25"/>
      <c r="C289" s="25"/>
    </row>
    <row r="290" spans="1:3" x14ac:dyDescent="0.25">
      <c r="A290" s="36"/>
      <c r="B290" s="25"/>
      <c r="C290" s="25"/>
    </row>
    <row r="291" spans="1:3" x14ac:dyDescent="0.25">
      <c r="A291" s="36"/>
      <c r="B291" s="25"/>
      <c r="C291" s="25"/>
    </row>
    <row r="292" spans="1:3" x14ac:dyDescent="0.25">
      <c r="A292" s="36"/>
      <c r="B292" s="25"/>
      <c r="C292" s="25"/>
    </row>
    <row r="293" spans="1:3" x14ac:dyDescent="0.25">
      <c r="A293" s="36"/>
      <c r="B293" s="25"/>
      <c r="C293" s="25"/>
    </row>
    <row r="294" spans="1:3" x14ac:dyDescent="0.25">
      <c r="A294" s="36"/>
      <c r="B294" s="25"/>
      <c r="C294" s="25"/>
    </row>
    <row r="295" spans="1:3" x14ac:dyDescent="0.25">
      <c r="A295" s="36"/>
      <c r="B295" s="25"/>
      <c r="C295" s="25"/>
    </row>
    <row r="296" spans="1:3" x14ac:dyDescent="0.25">
      <c r="A296" s="36"/>
      <c r="B296" s="25"/>
      <c r="C296" s="25"/>
    </row>
    <row r="297" spans="1:3" x14ac:dyDescent="0.25">
      <c r="A297" s="36"/>
      <c r="B297" s="25"/>
      <c r="C297" s="25"/>
    </row>
    <row r="298" spans="1:3" x14ac:dyDescent="0.25">
      <c r="A298" s="36"/>
      <c r="B298" s="25"/>
      <c r="C298" s="25"/>
    </row>
    <row r="299" spans="1:3" x14ac:dyDescent="0.25">
      <c r="A299" s="36"/>
      <c r="B299" s="25"/>
      <c r="C299" s="25"/>
    </row>
    <row r="300" spans="1:3" x14ac:dyDescent="0.25">
      <c r="A300" s="36"/>
      <c r="B300" s="25"/>
      <c r="C300" s="25"/>
    </row>
    <row r="301" spans="1:3" x14ac:dyDescent="0.25">
      <c r="A301" s="36"/>
      <c r="B301" s="25"/>
      <c r="C301" s="25"/>
    </row>
    <row r="302" spans="1:3" x14ac:dyDescent="0.25">
      <c r="A302" s="36"/>
      <c r="B302" s="25"/>
      <c r="C302" s="25"/>
    </row>
    <row r="303" spans="1:3" x14ac:dyDescent="0.25">
      <c r="A303" s="36"/>
      <c r="B303" s="25"/>
      <c r="C303" s="25"/>
    </row>
    <row r="304" spans="1:3" x14ac:dyDescent="0.25">
      <c r="A304" s="36"/>
      <c r="B304" s="25"/>
      <c r="C304" s="25"/>
    </row>
    <row r="305" spans="1:3" x14ac:dyDescent="0.25">
      <c r="A305" s="36"/>
      <c r="B305" s="25"/>
      <c r="C305" s="25"/>
    </row>
    <row r="306" spans="1:3" x14ac:dyDescent="0.25">
      <c r="A306" s="36"/>
      <c r="B306" s="25"/>
      <c r="C306" s="25"/>
    </row>
    <row r="307" spans="1:3" x14ac:dyDescent="0.25">
      <c r="A307" s="36"/>
      <c r="B307" s="25"/>
      <c r="C307" s="25"/>
    </row>
    <row r="308" spans="1:3" x14ac:dyDescent="0.25">
      <c r="A308" s="36"/>
      <c r="B308" s="25"/>
      <c r="C308" s="25"/>
    </row>
    <row r="309" spans="1:3" x14ac:dyDescent="0.25">
      <c r="A309" s="36"/>
      <c r="B309" s="25"/>
      <c r="C309" s="25"/>
    </row>
    <row r="310" spans="1:3" x14ac:dyDescent="0.25">
      <c r="A310" s="36"/>
      <c r="B310" s="25"/>
      <c r="C310" s="25"/>
    </row>
    <row r="311" spans="1:3" x14ac:dyDescent="0.25">
      <c r="A311" s="36"/>
      <c r="B311" s="25"/>
      <c r="C311" s="25"/>
    </row>
    <row r="312" spans="1:3" x14ac:dyDescent="0.25">
      <c r="A312" s="36"/>
      <c r="B312" s="25"/>
      <c r="C312" s="25"/>
    </row>
    <row r="313" spans="1:3" x14ac:dyDescent="0.25">
      <c r="A313" s="36"/>
      <c r="B313" s="25"/>
      <c r="C313" s="25"/>
    </row>
    <row r="314" spans="1:3" x14ac:dyDescent="0.25">
      <c r="A314" s="36"/>
      <c r="B314" s="25"/>
      <c r="C314" s="25"/>
    </row>
    <row r="315" spans="1:3" x14ac:dyDescent="0.25">
      <c r="A315" s="36"/>
      <c r="B315" s="25"/>
      <c r="C315" s="25"/>
    </row>
    <row r="316" spans="1:3" x14ac:dyDescent="0.25">
      <c r="A316" s="36"/>
      <c r="B316" s="25"/>
      <c r="C316" s="25"/>
    </row>
    <row r="317" spans="1:3" x14ac:dyDescent="0.25">
      <c r="A317" s="36"/>
      <c r="B317" s="25"/>
      <c r="C317" s="25"/>
    </row>
    <row r="318" spans="1:3" x14ac:dyDescent="0.25">
      <c r="A318" s="36"/>
      <c r="B318" s="25"/>
      <c r="C318" s="25"/>
    </row>
    <row r="319" spans="1:3" x14ac:dyDescent="0.25">
      <c r="A319" s="36"/>
      <c r="B319" s="25"/>
      <c r="C319" s="25"/>
    </row>
    <row r="320" spans="1:3" x14ac:dyDescent="0.25">
      <c r="A320" s="36"/>
      <c r="B320" s="25"/>
      <c r="C320" s="25"/>
    </row>
    <row r="321" spans="1:3" x14ac:dyDescent="0.25">
      <c r="A321" s="36"/>
      <c r="B321" s="25"/>
      <c r="C321" s="25"/>
    </row>
    <row r="322" spans="1:3" x14ac:dyDescent="0.25">
      <c r="A322" s="36"/>
      <c r="B322" s="25"/>
      <c r="C322" s="25"/>
    </row>
    <row r="323" spans="1:3" x14ac:dyDescent="0.25">
      <c r="A323" s="36"/>
      <c r="B323" s="25"/>
      <c r="C323" s="25"/>
    </row>
    <row r="324" spans="1:3" x14ac:dyDescent="0.25">
      <c r="A324" s="36"/>
      <c r="B324" s="25"/>
      <c r="C324" s="25"/>
    </row>
    <row r="325" spans="1:3" x14ac:dyDescent="0.25">
      <c r="A325" s="36"/>
      <c r="B325" s="25"/>
      <c r="C325" s="25"/>
    </row>
    <row r="326" spans="1:3" x14ac:dyDescent="0.25">
      <c r="A326" s="36"/>
      <c r="B326" s="25"/>
      <c r="C326" s="25"/>
    </row>
    <row r="327" spans="1:3" x14ac:dyDescent="0.25">
      <c r="A327" s="36"/>
      <c r="B327" s="25"/>
      <c r="C327" s="25"/>
    </row>
    <row r="328" spans="1:3" x14ac:dyDescent="0.25">
      <c r="A328" s="36"/>
      <c r="B328" s="25"/>
      <c r="C328" s="25"/>
    </row>
    <row r="329" spans="1:3" x14ac:dyDescent="0.25">
      <c r="A329" s="36"/>
      <c r="B329" s="25"/>
      <c r="C329" s="25"/>
    </row>
    <row r="330" spans="1:3" x14ac:dyDescent="0.25">
      <c r="A330" s="36"/>
      <c r="B330" s="25"/>
      <c r="C330" s="25"/>
    </row>
    <row r="331" spans="1:3" x14ac:dyDescent="0.25">
      <c r="A331" s="36"/>
      <c r="B331" s="25"/>
      <c r="C331" s="25"/>
    </row>
    <row r="332" spans="1:3" x14ac:dyDescent="0.25">
      <c r="A332" s="36"/>
      <c r="B332" s="25"/>
      <c r="C332" s="25"/>
    </row>
    <row r="333" spans="1:3" x14ac:dyDescent="0.25">
      <c r="A333" s="36"/>
      <c r="B333" s="25"/>
      <c r="C333" s="25"/>
    </row>
    <row r="334" spans="1:3" x14ac:dyDescent="0.25">
      <c r="A334" s="36"/>
      <c r="B334" s="25"/>
      <c r="C334" s="25"/>
    </row>
    <row r="335" spans="1:3" x14ac:dyDescent="0.25">
      <c r="A335" s="36"/>
      <c r="B335" s="25"/>
      <c r="C335" s="25"/>
    </row>
    <row r="336" spans="1:3" x14ac:dyDescent="0.25">
      <c r="A336" s="36"/>
      <c r="B336" s="25"/>
      <c r="C336" s="25"/>
    </row>
    <row r="337" spans="1:3" x14ac:dyDescent="0.25">
      <c r="A337" s="36"/>
      <c r="B337" s="25"/>
      <c r="C337" s="25"/>
    </row>
    <row r="338" spans="1:3" x14ac:dyDescent="0.25">
      <c r="A338" s="36"/>
      <c r="B338" s="25"/>
      <c r="C338" s="25"/>
    </row>
    <row r="339" spans="1:3" x14ac:dyDescent="0.25">
      <c r="A339" s="36"/>
      <c r="B339" s="25"/>
      <c r="C339" s="25"/>
    </row>
    <row r="340" spans="1:3" x14ac:dyDescent="0.25">
      <c r="A340" s="36"/>
      <c r="B340" s="25"/>
      <c r="C340" s="25"/>
    </row>
    <row r="341" spans="1:3" x14ac:dyDescent="0.25">
      <c r="A341" s="36"/>
      <c r="B341" s="25"/>
      <c r="C341" s="25"/>
    </row>
    <row r="342" spans="1:3" x14ac:dyDescent="0.25">
      <c r="A342" s="36"/>
      <c r="B342" s="25"/>
      <c r="C342" s="25"/>
    </row>
    <row r="343" spans="1:3" x14ac:dyDescent="0.25">
      <c r="A343" s="36"/>
      <c r="B343" s="25"/>
      <c r="C343" s="25"/>
    </row>
    <row r="344" spans="1:3" x14ac:dyDescent="0.25">
      <c r="A344" s="36"/>
      <c r="B344" s="25"/>
      <c r="C344" s="25"/>
    </row>
    <row r="345" spans="1:3" x14ac:dyDescent="0.25">
      <c r="A345" s="36"/>
      <c r="B345" s="25"/>
      <c r="C345" s="25"/>
    </row>
    <row r="346" spans="1:3" x14ac:dyDescent="0.25">
      <c r="A346" s="36"/>
      <c r="B346" s="25"/>
      <c r="C346" s="25"/>
    </row>
    <row r="347" spans="1:3" x14ac:dyDescent="0.25">
      <c r="A347" s="36"/>
      <c r="B347" s="25"/>
      <c r="C347" s="25"/>
    </row>
    <row r="348" spans="1:3" x14ac:dyDescent="0.25">
      <c r="A348" s="36"/>
      <c r="B348" s="25"/>
      <c r="C348" s="25"/>
    </row>
    <row r="349" spans="1:3" x14ac:dyDescent="0.25">
      <c r="A349" s="36"/>
      <c r="B349" s="25"/>
      <c r="C349" s="25"/>
    </row>
    <row r="350" spans="1:3" x14ac:dyDescent="0.25">
      <c r="A350" s="36"/>
      <c r="B350" s="25"/>
      <c r="C350" s="25"/>
    </row>
    <row r="351" spans="1:3" x14ac:dyDescent="0.25">
      <c r="A351" s="36"/>
      <c r="B351" s="25"/>
      <c r="C351" s="25"/>
    </row>
    <row r="352" spans="1:3" x14ac:dyDescent="0.25">
      <c r="A352" s="36"/>
      <c r="B352" s="25"/>
      <c r="C352" s="25"/>
    </row>
    <row r="353" spans="1:3" x14ac:dyDescent="0.25">
      <c r="A353" s="36"/>
      <c r="B353" s="25"/>
      <c r="C353" s="25"/>
    </row>
    <row r="354" spans="1:3" x14ac:dyDescent="0.25">
      <c r="A354" s="36"/>
      <c r="B354" s="25"/>
      <c r="C354" s="25"/>
    </row>
    <row r="355" spans="1:3" x14ac:dyDescent="0.25">
      <c r="A355" s="36"/>
      <c r="B355" s="25"/>
      <c r="C355" s="25"/>
    </row>
    <row r="356" spans="1:3" x14ac:dyDescent="0.25">
      <c r="A356" s="36"/>
      <c r="B356" s="25"/>
      <c r="C356" s="25"/>
    </row>
    <row r="357" spans="1:3" x14ac:dyDescent="0.25">
      <c r="A357" s="36"/>
      <c r="B357" s="25"/>
      <c r="C357" s="25"/>
    </row>
    <row r="358" spans="1:3" x14ac:dyDescent="0.25">
      <c r="A358" s="36"/>
      <c r="B358" s="25"/>
      <c r="C358" s="25"/>
    </row>
    <row r="359" spans="1:3" x14ac:dyDescent="0.25">
      <c r="A359" s="36"/>
      <c r="B359" s="25"/>
      <c r="C359" s="25"/>
    </row>
    <row r="360" spans="1:3" x14ac:dyDescent="0.25">
      <c r="A360" s="36"/>
      <c r="B360" s="25"/>
      <c r="C360" s="25"/>
    </row>
    <row r="361" spans="1:3" x14ac:dyDescent="0.25">
      <c r="A361" s="36"/>
      <c r="B361" s="25"/>
      <c r="C361" s="25"/>
    </row>
    <row r="362" spans="1:3" x14ac:dyDescent="0.25">
      <c r="A362" s="36"/>
      <c r="B362" s="25"/>
      <c r="C362" s="25"/>
    </row>
    <row r="363" spans="1:3" x14ac:dyDescent="0.25">
      <c r="A363" s="36"/>
      <c r="B363" s="25"/>
      <c r="C363" s="25"/>
    </row>
    <row r="364" spans="1:3" x14ac:dyDescent="0.25">
      <c r="A364" s="36"/>
      <c r="B364" s="25"/>
      <c r="C364" s="25"/>
    </row>
    <row r="365" spans="1:3" x14ac:dyDescent="0.25">
      <c r="A365" s="36"/>
      <c r="B365" s="25"/>
      <c r="C365" s="25"/>
    </row>
    <row r="366" spans="1:3" x14ac:dyDescent="0.25">
      <c r="A366" s="36"/>
      <c r="B366" s="25"/>
      <c r="C366" s="25"/>
    </row>
    <row r="367" spans="1:3" x14ac:dyDescent="0.25">
      <c r="A367" s="36"/>
      <c r="B367" s="25"/>
      <c r="C367" s="25"/>
    </row>
    <row r="368" spans="1:3" x14ac:dyDescent="0.25">
      <c r="A368" s="36"/>
      <c r="B368" s="25"/>
      <c r="C368" s="25"/>
    </row>
    <row r="369" spans="1:3" x14ac:dyDescent="0.25">
      <c r="A369" s="36"/>
      <c r="B369" s="25"/>
      <c r="C369" s="25"/>
    </row>
    <row r="370" spans="1:3" x14ac:dyDescent="0.25">
      <c r="A370" s="36"/>
      <c r="B370" s="25"/>
      <c r="C370" s="25"/>
    </row>
    <row r="371" spans="1:3" x14ac:dyDescent="0.25">
      <c r="A371" s="36"/>
      <c r="B371" s="25"/>
      <c r="C371" s="25"/>
    </row>
    <row r="372" spans="1:3" x14ac:dyDescent="0.25">
      <c r="A372" s="36"/>
      <c r="B372" s="25"/>
      <c r="C372" s="25"/>
    </row>
    <row r="373" spans="1:3" x14ac:dyDescent="0.25">
      <c r="A373" s="36"/>
      <c r="B373" s="25"/>
      <c r="C373" s="25"/>
    </row>
    <row r="374" spans="1:3" x14ac:dyDescent="0.25">
      <c r="A374" s="36"/>
      <c r="B374" s="25"/>
      <c r="C374" s="25"/>
    </row>
    <row r="375" spans="1:3" x14ac:dyDescent="0.25">
      <c r="A375" s="36"/>
      <c r="B375" s="25"/>
      <c r="C375" s="25"/>
    </row>
    <row r="376" spans="1:3" x14ac:dyDescent="0.25">
      <c r="A376" s="36"/>
      <c r="B376" s="25"/>
      <c r="C376" s="25"/>
    </row>
    <row r="377" spans="1:3" x14ac:dyDescent="0.25">
      <c r="A377" s="36"/>
      <c r="B377" s="25"/>
      <c r="C377" s="25"/>
    </row>
    <row r="378" spans="1:3" x14ac:dyDescent="0.25">
      <c r="A378" s="36"/>
      <c r="B378" s="25"/>
      <c r="C378" s="25"/>
    </row>
    <row r="379" spans="1:3" x14ac:dyDescent="0.25">
      <c r="A379" s="36"/>
      <c r="B379" s="25"/>
      <c r="C379" s="25"/>
    </row>
    <row r="380" spans="1:3" x14ac:dyDescent="0.25">
      <c r="A380" s="36"/>
      <c r="B380" s="25"/>
      <c r="C380" s="25"/>
    </row>
    <row r="381" spans="1:3" x14ac:dyDescent="0.25">
      <c r="A381" s="36"/>
      <c r="B381" s="25"/>
      <c r="C381" s="25"/>
    </row>
    <row r="382" spans="1:3" x14ac:dyDescent="0.25">
      <c r="A382" s="36"/>
      <c r="B382" s="25"/>
      <c r="C382" s="25"/>
    </row>
    <row r="383" spans="1:3" x14ac:dyDescent="0.25">
      <c r="A383" s="36"/>
      <c r="B383" s="25"/>
      <c r="C383" s="25"/>
    </row>
    <row r="384" spans="1:3" x14ac:dyDescent="0.25">
      <c r="A384" s="36"/>
      <c r="B384" s="25"/>
      <c r="C384" s="25"/>
    </row>
    <row r="385" spans="1:3" x14ac:dyDescent="0.25">
      <c r="A385" s="36"/>
      <c r="B385" s="25"/>
      <c r="C385" s="25"/>
    </row>
    <row r="386" spans="1:3" x14ac:dyDescent="0.25">
      <c r="A386" s="36"/>
      <c r="B386" s="25"/>
      <c r="C386" s="25"/>
    </row>
    <row r="387" spans="1:3" x14ac:dyDescent="0.25">
      <c r="A387" s="36"/>
      <c r="B387" s="25"/>
      <c r="C387" s="25"/>
    </row>
    <row r="388" spans="1:3" x14ac:dyDescent="0.25">
      <c r="A388" s="36"/>
      <c r="B388" s="25"/>
      <c r="C388" s="25"/>
    </row>
    <row r="389" spans="1:3" x14ac:dyDescent="0.25">
      <c r="A389" s="36"/>
      <c r="B389" s="25"/>
      <c r="C389" s="25"/>
    </row>
    <row r="390" spans="1:3" x14ac:dyDescent="0.25">
      <c r="A390" s="36"/>
      <c r="B390" s="25"/>
      <c r="C390" s="25"/>
    </row>
    <row r="391" spans="1:3" x14ac:dyDescent="0.25">
      <c r="A391" s="36"/>
      <c r="B391" s="25"/>
      <c r="C391" s="25"/>
    </row>
    <row r="392" spans="1:3" x14ac:dyDescent="0.25">
      <c r="A392" s="36"/>
      <c r="B392" s="25"/>
      <c r="C392" s="25"/>
    </row>
    <row r="393" spans="1:3" x14ac:dyDescent="0.25">
      <c r="A393" s="36"/>
      <c r="B393" s="25"/>
      <c r="C393" s="25"/>
    </row>
    <row r="394" spans="1:3" x14ac:dyDescent="0.25">
      <c r="A394" s="36"/>
      <c r="B394" s="25"/>
      <c r="C394" s="25"/>
    </row>
    <row r="395" spans="1:3" x14ac:dyDescent="0.25">
      <c r="A395" s="36"/>
      <c r="B395" s="25"/>
      <c r="C395" s="25"/>
    </row>
    <row r="396" spans="1:3" x14ac:dyDescent="0.25">
      <c r="A396" s="36"/>
      <c r="B396" s="25"/>
      <c r="C396" s="25"/>
    </row>
    <row r="397" spans="1:3" x14ac:dyDescent="0.25">
      <c r="A397" s="36"/>
      <c r="B397" s="25"/>
      <c r="C397" s="25"/>
    </row>
    <row r="398" spans="1:3" x14ac:dyDescent="0.25">
      <c r="A398" s="36"/>
      <c r="B398" s="25"/>
      <c r="C398" s="25"/>
    </row>
    <row r="399" spans="1:3" x14ac:dyDescent="0.25">
      <c r="A399" s="36"/>
      <c r="B399" s="25"/>
      <c r="C399" s="25"/>
    </row>
    <row r="400" spans="1:3" x14ac:dyDescent="0.25">
      <c r="A400" s="36"/>
      <c r="B400" s="25"/>
      <c r="C400" s="25"/>
    </row>
    <row r="401" spans="1:3" x14ac:dyDescent="0.25">
      <c r="A401" s="36"/>
      <c r="B401" s="25"/>
      <c r="C401" s="25"/>
    </row>
    <row r="402" spans="1:3" x14ac:dyDescent="0.25">
      <c r="A402" s="36"/>
      <c r="B402" s="25"/>
      <c r="C402" s="25"/>
    </row>
    <row r="403" spans="1:3" x14ac:dyDescent="0.25">
      <c r="A403" s="36"/>
      <c r="B403" s="25"/>
      <c r="C403" s="25"/>
    </row>
    <row r="404" spans="1:3" x14ac:dyDescent="0.25">
      <c r="A404" s="36"/>
      <c r="B404" s="25"/>
      <c r="C404" s="25"/>
    </row>
    <row r="405" spans="1:3" x14ac:dyDescent="0.25">
      <c r="A405" s="36"/>
      <c r="B405" s="25"/>
      <c r="C405" s="25"/>
    </row>
    <row r="406" spans="1:3" x14ac:dyDescent="0.25">
      <c r="A406" s="36"/>
      <c r="B406" s="25"/>
      <c r="C406" s="25"/>
    </row>
    <row r="407" spans="1:3" x14ac:dyDescent="0.25">
      <c r="A407" s="36"/>
      <c r="B407" s="25"/>
      <c r="C407" s="25"/>
    </row>
    <row r="408" spans="1:3" x14ac:dyDescent="0.25">
      <c r="A408" s="36"/>
      <c r="B408" s="25"/>
      <c r="C408" s="25"/>
    </row>
    <row r="409" spans="1:3" x14ac:dyDescent="0.25">
      <c r="A409" s="36"/>
      <c r="B409" s="25"/>
      <c r="C409" s="25"/>
    </row>
    <row r="410" spans="1:3" x14ac:dyDescent="0.25">
      <c r="A410" s="36"/>
      <c r="B410" s="25"/>
      <c r="C410" s="25"/>
    </row>
    <row r="411" spans="1:3" x14ac:dyDescent="0.25">
      <c r="A411" s="36"/>
      <c r="B411" s="25"/>
      <c r="C411" s="25"/>
    </row>
    <row r="412" spans="1:3" x14ac:dyDescent="0.25">
      <c r="A412" s="36"/>
      <c r="B412" s="25"/>
      <c r="C412" s="25"/>
    </row>
    <row r="413" spans="1:3" x14ac:dyDescent="0.25">
      <c r="A413" s="36"/>
      <c r="B413" s="25"/>
      <c r="C413" s="25"/>
    </row>
    <row r="414" spans="1:3" x14ac:dyDescent="0.25">
      <c r="A414" s="36"/>
      <c r="B414" s="25"/>
      <c r="C414" s="25"/>
    </row>
    <row r="415" spans="1:3" x14ac:dyDescent="0.25">
      <c r="A415" s="36"/>
      <c r="B415" s="25"/>
      <c r="C415" s="25"/>
    </row>
    <row r="416" spans="1:3" x14ac:dyDescent="0.25">
      <c r="A416" s="36"/>
      <c r="B416" s="25"/>
      <c r="C416" s="25"/>
    </row>
    <row r="417" spans="1:3" x14ac:dyDescent="0.25">
      <c r="A417" s="36"/>
      <c r="B417" s="25"/>
      <c r="C417" s="25"/>
    </row>
    <row r="418" spans="1:3" x14ac:dyDescent="0.25">
      <c r="A418" s="36"/>
      <c r="B418" s="25"/>
      <c r="C418" s="25"/>
    </row>
    <row r="419" spans="1:3" x14ac:dyDescent="0.25">
      <c r="A419" s="36"/>
      <c r="B419" s="25"/>
      <c r="C419" s="25"/>
    </row>
    <row r="420" spans="1:3" x14ac:dyDescent="0.25">
      <c r="A420" s="36"/>
      <c r="B420" s="25"/>
      <c r="C420" s="25"/>
    </row>
    <row r="421" spans="1:3" x14ac:dyDescent="0.25">
      <c r="A421" s="36"/>
      <c r="B421" s="25"/>
      <c r="C421" s="25"/>
    </row>
    <row r="422" spans="1:3" x14ac:dyDescent="0.25">
      <c r="A422" s="36"/>
      <c r="B422" s="25"/>
      <c r="C422" s="25"/>
    </row>
    <row r="423" spans="1:3" x14ac:dyDescent="0.25">
      <c r="A423" s="36"/>
      <c r="B423" s="25"/>
      <c r="C423" s="25"/>
    </row>
    <row r="424" spans="1:3" x14ac:dyDescent="0.25">
      <c r="A424" s="36"/>
      <c r="B424" s="25"/>
      <c r="C424" s="25"/>
    </row>
    <row r="425" spans="1:3" x14ac:dyDescent="0.25">
      <c r="A425" s="36"/>
      <c r="B425" s="25"/>
      <c r="C425" s="25"/>
    </row>
    <row r="426" spans="1:3" x14ac:dyDescent="0.25">
      <c r="A426" s="36"/>
      <c r="B426" s="25"/>
      <c r="C426" s="25"/>
    </row>
    <row r="427" spans="1:3" x14ac:dyDescent="0.25">
      <c r="A427" s="36"/>
      <c r="B427" s="25"/>
      <c r="C427" s="25"/>
    </row>
    <row r="428" spans="1:3" x14ac:dyDescent="0.25">
      <c r="A428" s="36"/>
      <c r="B428" s="25"/>
      <c r="C428" s="25"/>
    </row>
    <row r="429" spans="1:3" x14ac:dyDescent="0.25">
      <c r="A429" s="36"/>
      <c r="B429" s="25"/>
      <c r="C429" s="25"/>
    </row>
    <row r="430" spans="1:3" x14ac:dyDescent="0.25">
      <c r="A430" s="36"/>
      <c r="B430" s="25"/>
      <c r="C430" s="25"/>
    </row>
    <row r="431" spans="1:3" x14ac:dyDescent="0.25">
      <c r="A431" s="36"/>
      <c r="B431" s="25"/>
      <c r="C431" s="25"/>
    </row>
    <row r="432" spans="1:3" x14ac:dyDescent="0.25">
      <c r="A432" s="36"/>
      <c r="B432" s="25"/>
      <c r="C432" s="25"/>
    </row>
    <row r="433" spans="1:3" x14ac:dyDescent="0.25">
      <c r="A433" s="36"/>
      <c r="B433" s="25"/>
      <c r="C433" s="25"/>
    </row>
    <row r="434" spans="1:3" x14ac:dyDescent="0.25">
      <c r="A434" s="36"/>
      <c r="B434" s="25"/>
      <c r="C434" s="25"/>
    </row>
    <row r="435" spans="1:3" x14ac:dyDescent="0.25">
      <c r="A435" s="36"/>
      <c r="B435" s="25"/>
      <c r="C435" s="25"/>
    </row>
    <row r="436" spans="1:3" x14ac:dyDescent="0.25">
      <c r="A436" s="36"/>
      <c r="B436" s="25"/>
      <c r="C436" s="25"/>
    </row>
    <row r="437" spans="1:3" x14ac:dyDescent="0.25">
      <c r="A437" s="36"/>
      <c r="B437" s="25"/>
      <c r="C437" s="25"/>
    </row>
    <row r="438" spans="1:3" x14ac:dyDescent="0.25">
      <c r="A438" s="36"/>
      <c r="B438" s="25"/>
      <c r="C438" s="25"/>
    </row>
    <row r="439" spans="1:3" x14ac:dyDescent="0.25">
      <c r="A439" s="36"/>
      <c r="B439" s="25"/>
      <c r="C439" s="25"/>
    </row>
    <row r="440" spans="1:3" x14ac:dyDescent="0.25">
      <c r="A440" s="36"/>
      <c r="B440" s="25"/>
      <c r="C440" s="25"/>
    </row>
    <row r="441" spans="1:3" x14ac:dyDescent="0.25">
      <c r="A441" s="36"/>
      <c r="B441" s="25"/>
      <c r="C441" s="25"/>
    </row>
    <row r="442" spans="1:3" x14ac:dyDescent="0.25">
      <c r="A442" s="36"/>
      <c r="B442" s="25"/>
      <c r="C442" s="25"/>
    </row>
    <row r="443" spans="1:3" x14ac:dyDescent="0.25">
      <c r="A443" s="36"/>
      <c r="B443" s="25"/>
      <c r="C443" s="25"/>
    </row>
    <row r="444" spans="1:3" x14ac:dyDescent="0.25">
      <c r="A444" s="36"/>
      <c r="B444" s="25"/>
      <c r="C444" s="25"/>
    </row>
    <row r="445" spans="1:3" x14ac:dyDescent="0.25">
      <c r="A445" s="36"/>
      <c r="B445" s="25"/>
      <c r="C445" s="25"/>
    </row>
    <row r="446" spans="1:3" x14ac:dyDescent="0.25">
      <c r="A446" s="36"/>
      <c r="B446" s="25"/>
      <c r="C446" s="25"/>
    </row>
    <row r="447" spans="1:3" x14ac:dyDescent="0.25">
      <c r="A447" s="36"/>
      <c r="B447" s="25"/>
      <c r="C447" s="25"/>
    </row>
    <row r="448" spans="1:3" x14ac:dyDescent="0.25">
      <c r="A448" s="36"/>
      <c r="B448" s="25"/>
      <c r="C448" s="25"/>
    </row>
    <row r="449" spans="1:3" x14ac:dyDescent="0.25">
      <c r="A449" s="36"/>
      <c r="B449" s="25"/>
      <c r="C449" s="25"/>
    </row>
    <row r="450" spans="1:3" x14ac:dyDescent="0.25">
      <c r="A450" s="36"/>
      <c r="B450" s="25"/>
      <c r="C450" s="25"/>
    </row>
    <row r="451" spans="1:3" x14ac:dyDescent="0.25">
      <c r="A451" s="36"/>
      <c r="B451" s="25"/>
      <c r="C451" s="25"/>
    </row>
    <row r="452" spans="1:3" x14ac:dyDescent="0.25">
      <c r="A452" s="36"/>
      <c r="B452" s="25"/>
      <c r="C452" s="25"/>
    </row>
    <row r="453" spans="1:3" x14ac:dyDescent="0.25">
      <c r="A453" s="36"/>
      <c r="B453" s="25"/>
      <c r="C453" s="25"/>
    </row>
    <row r="454" spans="1:3" x14ac:dyDescent="0.25">
      <c r="A454" s="36"/>
      <c r="B454" s="25"/>
      <c r="C454" s="25"/>
    </row>
    <row r="455" spans="1:3" x14ac:dyDescent="0.25">
      <c r="A455" s="36"/>
      <c r="B455" s="25"/>
      <c r="C455" s="25"/>
    </row>
    <row r="456" spans="1:3" x14ac:dyDescent="0.25">
      <c r="A456" s="36"/>
      <c r="B456" s="25"/>
      <c r="C456" s="25"/>
    </row>
    <row r="457" spans="1:3" x14ac:dyDescent="0.25">
      <c r="A457" s="36"/>
      <c r="B457" s="25"/>
      <c r="C457" s="25"/>
    </row>
    <row r="458" spans="1:3" x14ac:dyDescent="0.25">
      <c r="A458" s="36"/>
      <c r="B458" s="25"/>
      <c r="C458" s="25"/>
    </row>
    <row r="459" spans="1:3" x14ac:dyDescent="0.25">
      <c r="A459" s="36"/>
      <c r="B459" s="25"/>
      <c r="C459" s="25"/>
    </row>
    <row r="460" spans="1:3" x14ac:dyDescent="0.25">
      <c r="A460" s="36"/>
      <c r="B460" s="25"/>
      <c r="C460" s="25"/>
    </row>
    <row r="461" spans="1:3" x14ac:dyDescent="0.25">
      <c r="A461" s="36"/>
      <c r="B461" s="25"/>
      <c r="C461" s="25"/>
    </row>
    <row r="462" spans="1:3" x14ac:dyDescent="0.25">
      <c r="A462" s="36"/>
      <c r="B462" s="25"/>
      <c r="C462" s="25"/>
    </row>
    <row r="463" spans="1:3" x14ac:dyDescent="0.25">
      <c r="A463" s="36"/>
      <c r="B463" s="25"/>
      <c r="C463" s="25"/>
    </row>
    <row r="464" spans="1:3" x14ac:dyDescent="0.25">
      <c r="A464" s="36"/>
      <c r="B464" s="25"/>
      <c r="C464" s="25"/>
    </row>
    <row r="465" spans="1:3" x14ac:dyDescent="0.25">
      <c r="A465" s="36"/>
      <c r="B465" s="25"/>
      <c r="C465" s="25"/>
    </row>
    <row r="466" spans="1:3" x14ac:dyDescent="0.25">
      <c r="A466" s="36"/>
      <c r="B466" s="25"/>
      <c r="C466" s="25"/>
    </row>
    <row r="467" spans="1:3" x14ac:dyDescent="0.25">
      <c r="A467" s="36"/>
      <c r="B467" s="25"/>
      <c r="C467" s="25"/>
    </row>
    <row r="468" spans="1:3" x14ac:dyDescent="0.25">
      <c r="A468" s="36"/>
      <c r="B468" s="25"/>
      <c r="C468" s="25"/>
    </row>
    <row r="469" spans="1:3" x14ac:dyDescent="0.25">
      <c r="A469" s="36"/>
      <c r="B469" s="25"/>
      <c r="C469" s="25"/>
    </row>
    <row r="470" spans="1:3" x14ac:dyDescent="0.25">
      <c r="A470" s="36"/>
      <c r="B470" s="25"/>
      <c r="C470" s="25"/>
    </row>
    <row r="471" spans="1:3" x14ac:dyDescent="0.25">
      <c r="A471" s="36"/>
      <c r="B471" s="25"/>
      <c r="C471" s="25"/>
    </row>
    <row r="472" spans="1:3" x14ac:dyDescent="0.25">
      <c r="A472" s="36"/>
      <c r="B472" s="25"/>
      <c r="C472" s="25"/>
    </row>
    <row r="473" spans="1:3" x14ac:dyDescent="0.25">
      <c r="A473" s="36"/>
      <c r="B473" s="25"/>
      <c r="C473" s="25"/>
    </row>
    <row r="474" spans="1:3" x14ac:dyDescent="0.25">
      <c r="A474" s="36"/>
      <c r="B474" s="25"/>
      <c r="C474" s="25"/>
    </row>
    <row r="475" spans="1:3" x14ac:dyDescent="0.25">
      <c r="A475" s="36"/>
      <c r="B475" s="25"/>
      <c r="C475" s="25"/>
    </row>
    <row r="476" spans="1:3" x14ac:dyDescent="0.25">
      <c r="A476" s="36"/>
      <c r="B476" s="25"/>
      <c r="C476" s="25"/>
    </row>
    <row r="477" spans="1:3" x14ac:dyDescent="0.25">
      <c r="A477" s="36"/>
      <c r="B477" s="25"/>
      <c r="C477" s="25"/>
    </row>
    <row r="478" spans="1:3" x14ac:dyDescent="0.25">
      <c r="A478" s="36"/>
      <c r="B478" s="25"/>
      <c r="C478" s="25"/>
    </row>
    <row r="479" spans="1:3" x14ac:dyDescent="0.25">
      <c r="A479" s="36"/>
      <c r="B479" s="25"/>
      <c r="C479" s="25"/>
    </row>
    <row r="480" spans="1:3" x14ac:dyDescent="0.25">
      <c r="A480" s="36"/>
      <c r="B480" s="25"/>
      <c r="C480" s="25"/>
    </row>
    <row r="481" spans="1:3" x14ac:dyDescent="0.25">
      <c r="A481" s="36"/>
      <c r="B481" s="25"/>
      <c r="C481" s="25"/>
    </row>
    <row r="482" spans="1:3" x14ac:dyDescent="0.25">
      <c r="A482" s="36"/>
      <c r="B482" s="25"/>
      <c r="C482" s="25"/>
    </row>
    <row r="483" spans="1:3" x14ac:dyDescent="0.25">
      <c r="A483" s="36"/>
      <c r="B483" s="25"/>
      <c r="C483" s="25"/>
    </row>
    <row r="484" spans="1:3" x14ac:dyDescent="0.25">
      <c r="A484" s="36"/>
      <c r="B484" s="25"/>
      <c r="C484" s="25"/>
    </row>
    <row r="485" spans="1:3" x14ac:dyDescent="0.25">
      <c r="A485" s="36"/>
      <c r="B485" s="25"/>
      <c r="C485" s="25"/>
    </row>
    <row r="486" spans="1:3" x14ac:dyDescent="0.25">
      <c r="A486" s="36"/>
      <c r="B486" s="25"/>
      <c r="C486" s="25"/>
    </row>
    <row r="487" spans="1:3" x14ac:dyDescent="0.25">
      <c r="A487" s="36"/>
      <c r="B487" s="25"/>
      <c r="C487" s="25"/>
    </row>
    <row r="488" spans="1:3" x14ac:dyDescent="0.25">
      <c r="A488" s="36"/>
      <c r="B488" s="25"/>
      <c r="C488" s="25"/>
    </row>
    <row r="489" spans="1:3" x14ac:dyDescent="0.25">
      <c r="A489" s="36"/>
      <c r="B489" s="25"/>
      <c r="C489" s="25"/>
    </row>
    <row r="490" spans="1:3" x14ac:dyDescent="0.25">
      <c r="A490" s="36"/>
      <c r="B490" s="25"/>
      <c r="C490" s="25"/>
    </row>
    <row r="491" spans="1:3" x14ac:dyDescent="0.25">
      <c r="A491" s="36"/>
      <c r="B491" s="25"/>
      <c r="C491" s="25"/>
    </row>
    <row r="492" spans="1:3" x14ac:dyDescent="0.25">
      <c r="A492" s="36"/>
      <c r="B492" s="25"/>
      <c r="C492" s="25"/>
    </row>
    <row r="493" spans="1:3" x14ac:dyDescent="0.25">
      <c r="A493" s="36"/>
      <c r="B493" s="25"/>
      <c r="C493" s="25"/>
    </row>
    <row r="494" spans="1:3" x14ac:dyDescent="0.25">
      <c r="A494" s="36"/>
      <c r="B494" s="25"/>
      <c r="C494" s="25"/>
    </row>
    <row r="495" spans="1:3" x14ac:dyDescent="0.25">
      <c r="A495" s="36"/>
      <c r="B495" s="25"/>
      <c r="C495" s="25"/>
    </row>
    <row r="496" spans="1:3" x14ac:dyDescent="0.25">
      <c r="A496" s="36"/>
      <c r="B496" s="25"/>
      <c r="C496" s="25"/>
    </row>
    <row r="497" spans="1:3" x14ac:dyDescent="0.25">
      <c r="A497" s="36"/>
      <c r="B497" s="25"/>
      <c r="C497" s="25"/>
    </row>
    <row r="498" spans="1:3" x14ac:dyDescent="0.25">
      <c r="A498" s="36"/>
      <c r="B498" s="25"/>
      <c r="C498" s="25"/>
    </row>
    <row r="499" spans="1:3" x14ac:dyDescent="0.25">
      <c r="A499" s="36"/>
      <c r="B499" s="25"/>
      <c r="C499" s="25"/>
    </row>
    <row r="500" spans="1:3" x14ac:dyDescent="0.25">
      <c r="A500" s="36"/>
      <c r="B500" s="25"/>
      <c r="C500" s="25"/>
    </row>
    <row r="501" spans="1:3" x14ac:dyDescent="0.25">
      <c r="A501" s="36"/>
      <c r="B501" s="25"/>
      <c r="C501" s="25"/>
    </row>
    <row r="502" spans="1:3" x14ac:dyDescent="0.25">
      <c r="A502" s="36"/>
      <c r="B502" s="25"/>
      <c r="C502" s="25"/>
    </row>
    <row r="503" spans="1:3" x14ac:dyDescent="0.25">
      <c r="A503" s="36"/>
      <c r="B503" s="25"/>
      <c r="C503" s="25"/>
    </row>
    <row r="504" spans="1:3" x14ac:dyDescent="0.25">
      <c r="A504" s="36"/>
      <c r="B504" s="25"/>
      <c r="C504" s="25"/>
    </row>
    <row r="505" spans="1:3" x14ac:dyDescent="0.25">
      <c r="A505" s="36"/>
      <c r="B505" s="25"/>
      <c r="C505" s="25"/>
    </row>
    <row r="506" spans="1:3" x14ac:dyDescent="0.25">
      <c r="A506" s="36"/>
      <c r="B506" s="25"/>
      <c r="C506" s="25"/>
    </row>
    <row r="507" spans="1:3" x14ac:dyDescent="0.25">
      <c r="A507" s="36"/>
      <c r="B507" s="25"/>
      <c r="C507" s="25"/>
    </row>
    <row r="508" spans="1:3" x14ac:dyDescent="0.25">
      <c r="A508" s="36"/>
      <c r="B508" s="25"/>
      <c r="C508" s="25"/>
    </row>
    <row r="509" spans="1:3" x14ac:dyDescent="0.25">
      <c r="A509" s="36"/>
      <c r="B509" s="25"/>
      <c r="C509" s="25"/>
    </row>
    <row r="510" spans="1:3" x14ac:dyDescent="0.25">
      <c r="A510" s="36"/>
      <c r="B510" s="25"/>
      <c r="C510" s="25"/>
    </row>
    <row r="511" spans="1:3" x14ac:dyDescent="0.25">
      <c r="A511" s="36"/>
      <c r="B511" s="25"/>
      <c r="C511" s="25"/>
    </row>
    <row r="512" spans="1:3" x14ac:dyDescent="0.25">
      <c r="A512" s="36"/>
      <c r="B512" s="25"/>
      <c r="C512" s="25"/>
    </row>
    <row r="513" spans="1:3" x14ac:dyDescent="0.25">
      <c r="A513" s="36"/>
      <c r="B513" s="25"/>
      <c r="C513" s="25"/>
    </row>
    <row r="514" spans="1:3" x14ac:dyDescent="0.25">
      <c r="A514" s="36"/>
      <c r="B514" s="25"/>
      <c r="C514" s="25"/>
    </row>
    <row r="515" spans="1:3" x14ac:dyDescent="0.25">
      <c r="A515" s="36"/>
      <c r="B515" s="25"/>
      <c r="C515" s="25"/>
    </row>
    <row r="516" spans="1:3" x14ac:dyDescent="0.25">
      <c r="A516" s="36"/>
      <c r="B516" s="25"/>
      <c r="C516" s="25"/>
    </row>
    <row r="517" spans="1:3" x14ac:dyDescent="0.25">
      <c r="A517" s="36"/>
      <c r="B517" s="25"/>
      <c r="C517" s="25"/>
    </row>
    <row r="518" spans="1:3" x14ac:dyDescent="0.25">
      <c r="A518" s="36"/>
      <c r="B518" s="25"/>
      <c r="C518" s="25"/>
    </row>
    <row r="519" spans="1:3" x14ac:dyDescent="0.25">
      <c r="A519" s="36"/>
      <c r="B519" s="25"/>
      <c r="C519" s="25"/>
    </row>
    <row r="520" spans="1:3" x14ac:dyDescent="0.25">
      <c r="A520" s="36"/>
      <c r="B520" s="25"/>
      <c r="C520" s="25"/>
    </row>
    <row r="521" spans="1:3" x14ac:dyDescent="0.25">
      <c r="A521" s="36"/>
      <c r="B521" s="25"/>
      <c r="C521" s="25"/>
    </row>
    <row r="522" spans="1:3" x14ac:dyDescent="0.25">
      <c r="A522" s="36"/>
      <c r="B522" s="25"/>
      <c r="C522" s="25"/>
    </row>
    <row r="523" spans="1:3" x14ac:dyDescent="0.25">
      <c r="A523" s="36"/>
      <c r="B523" s="25"/>
      <c r="C523" s="25"/>
    </row>
    <row r="524" spans="1:3" x14ac:dyDescent="0.25">
      <c r="A524" s="36"/>
      <c r="B524" s="25"/>
      <c r="C524" s="25"/>
    </row>
    <row r="525" spans="1:3" x14ac:dyDescent="0.25">
      <c r="A525" s="36"/>
      <c r="B525" s="25"/>
      <c r="C525" s="25"/>
    </row>
    <row r="526" spans="1:3" x14ac:dyDescent="0.25">
      <c r="A526" s="36"/>
      <c r="B526" s="25"/>
      <c r="C526" s="25"/>
    </row>
    <row r="527" spans="1:3" x14ac:dyDescent="0.25">
      <c r="A527" s="36"/>
      <c r="B527" s="25"/>
      <c r="C527" s="25"/>
    </row>
    <row r="528" spans="1:3" x14ac:dyDescent="0.25">
      <c r="A528" s="36"/>
      <c r="B528" s="25"/>
      <c r="C528" s="25"/>
    </row>
    <row r="529" spans="1:3" x14ac:dyDescent="0.25">
      <c r="A529" s="36"/>
      <c r="B529" s="25"/>
      <c r="C529" s="25"/>
    </row>
    <row r="530" spans="1:3" x14ac:dyDescent="0.25">
      <c r="A530" s="36"/>
      <c r="B530" s="25"/>
      <c r="C530" s="25"/>
    </row>
    <row r="531" spans="1:3" x14ac:dyDescent="0.25">
      <c r="A531" s="36"/>
      <c r="B531" s="25"/>
      <c r="C531" s="25"/>
    </row>
    <row r="532" spans="1:3" x14ac:dyDescent="0.25">
      <c r="A532" s="36"/>
      <c r="B532" s="25"/>
      <c r="C532" s="25"/>
    </row>
    <row r="533" spans="1:3" x14ac:dyDescent="0.25">
      <c r="A533" s="36"/>
      <c r="B533" s="25"/>
      <c r="C533" s="25"/>
    </row>
    <row r="534" spans="1:3" x14ac:dyDescent="0.25">
      <c r="A534" s="36"/>
      <c r="B534" s="25"/>
      <c r="C534" s="25"/>
    </row>
    <row r="535" spans="1:3" x14ac:dyDescent="0.25">
      <c r="A535" s="36"/>
      <c r="B535" s="25"/>
      <c r="C535" s="25"/>
    </row>
    <row r="536" spans="1:3" x14ac:dyDescent="0.25">
      <c r="A536" s="36"/>
      <c r="B536" s="25"/>
      <c r="C536" s="25"/>
    </row>
    <row r="537" spans="1:3" x14ac:dyDescent="0.25">
      <c r="A537" s="36"/>
      <c r="B537" s="25"/>
      <c r="C537" s="25"/>
    </row>
    <row r="538" spans="1:3" x14ac:dyDescent="0.25">
      <c r="A538" s="36"/>
      <c r="B538" s="25"/>
      <c r="C538" s="25"/>
    </row>
    <row r="539" spans="1:3" x14ac:dyDescent="0.25">
      <c r="A539" s="36"/>
      <c r="B539" s="25"/>
      <c r="C539" s="25"/>
    </row>
    <row r="540" spans="1:3" x14ac:dyDescent="0.25">
      <c r="A540" s="36"/>
      <c r="B540" s="25"/>
      <c r="C540" s="25"/>
    </row>
    <row r="541" spans="1:3" x14ac:dyDescent="0.25">
      <c r="A541" s="36"/>
      <c r="B541" s="25"/>
      <c r="C541" s="25"/>
    </row>
    <row r="542" spans="1:3" x14ac:dyDescent="0.25">
      <c r="A542" s="36"/>
      <c r="B542" s="25"/>
      <c r="C542" s="25"/>
    </row>
    <row r="543" spans="1:3" x14ac:dyDescent="0.25">
      <c r="A543" s="36"/>
      <c r="B543" s="25"/>
      <c r="C543" s="25"/>
    </row>
    <row r="544" spans="1:3" x14ac:dyDescent="0.25">
      <c r="A544" s="36"/>
      <c r="B544" s="25"/>
      <c r="C544" s="25"/>
    </row>
    <row r="545" spans="1:3" x14ac:dyDescent="0.25">
      <c r="A545" s="36"/>
      <c r="B545" s="25"/>
      <c r="C545" s="25"/>
    </row>
    <row r="546" spans="1:3" x14ac:dyDescent="0.25">
      <c r="A546" s="36"/>
      <c r="B546" s="25"/>
      <c r="C546" s="25"/>
    </row>
    <row r="547" spans="1:3" x14ac:dyDescent="0.25">
      <c r="A547" s="36"/>
      <c r="B547" s="25"/>
      <c r="C547" s="25"/>
    </row>
    <row r="548" spans="1:3" x14ac:dyDescent="0.25">
      <c r="A548" s="36"/>
      <c r="B548" s="25"/>
      <c r="C548" s="25"/>
    </row>
    <row r="549" spans="1:3" x14ac:dyDescent="0.25">
      <c r="A549" s="36"/>
      <c r="B549" s="25"/>
      <c r="C549" s="25"/>
    </row>
    <row r="550" spans="1:3" x14ac:dyDescent="0.25">
      <c r="A550" s="36"/>
      <c r="B550" s="25"/>
      <c r="C550" s="25"/>
    </row>
    <row r="551" spans="1:3" x14ac:dyDescent="0.25">
      <c r="A551" s="36"/>
      <c r="B551" s="25"/>
      <c r="C551" s="25"/>
    </row>
    <row r="552" spans="1:3" x14ac:dyDescent="0.25">
      <c r="A552" s="36"/>
      <c r="B552" s="25"/>
      <c r="C552" s="25"/>
    </row>
    <row r="553" spans="1:3" x14ac:dyDescent="0.25">
      <c r="A553" s="36"/>
      <c r="B553" s="25"/>
      <c r="C553" s="25"/>
    </row>
    <row r="554" spans="1:3" x14ac:dyDescent="0.25">
      <c r="A554" s="36"/>
      <c r="B554" s="25"/>
      <c r="C554" s="25"/>
    </row>
    <row r="555" spans="1:3" x14ac:dyDescent="0.25">
      <c r="A555" s="36"/>
      <c r="B555" s="25"/>
      <c r="C555" s="25"/>
    </row>
    <row r="556" spans="1:3" x14ac:dyDescent="0.25">
      <c r="A556" s="36"/>
      <c r="B556" s="25"/>
      <c r="C556" s="25"/>
    </row>
    <row r="557" spans="1:3" x14ac:dyDescent="0.25">
      <c r="A557" s="36"/>
      <c r="B557" s="25"/>
      <c r="C557" s="25"/>
    </row>
    <row r="558" spans="1:3" x14ac:dyDescent="0.25">
      <c r="A558" s="36"/>
      <c r="B558" s="25"/>
      <c r="C558" s="25"/>
    </row>
    <row r="559" spans="1:3" x14ac:dyDescent="0.25">
      <c r="A559" s="36"/>
      <c r="B559" s="25"/>
      <c r="C559" s="25"/>
    </row>
    <row r="560" spans="1:3" x14ac:dyDescent="0.25">
      <c r="A560" s="36"/>
      <c r="B560" s="25"/>
      <c r="C560" s="25"/>
    </row>
    <row r="561" spans="1:3" x14ac:dyDescent="0.25">
      <c r="A561" s="36"/>
      <c r="B561" s="25"/>
      <c r="C561" s="25"/>
    </row>
    <row r="562" spans="1:3" x14ac:dyDescent="0.25">
      <c r="A562" s="36"/>
      <c r="B562" s="25"/>
      <c r="C562" s="25"/>
    </row>
    <row r="563" spans="1:3" x14ac:dyDescent="0.25">
      <c r="A563" s="36"/>
      <c r="B563" s="25"/>
      <c r="C563" s="25"/>
    </row>
    <row r="564" spans="1:3" x14ac:dyDescent="0.25">
      <c r="A564" s="36"/>
      <c r="B564" s="25"/>
      <c r="C564" s="25"/>
    </row>
    <row r="565" spans="1:3" x14ac:dyDescent="0.25">
      <c r="A565" s="36"/>
      <c r="B565" s="25"/>
      <c r="C565" s="25"/>
    </row>
    <row r="566" spans="1:3" x14ac:dyDescent="0.25">
      <c r="A566" s="36"/>
      <c r="B566" s="25"/>
      <c r="C566" s="25"/>
    </row>
    <row r="567" spans="1:3" x14ac:dyDescent="0.25">
      <c r="A567" s="36"/>
      <c r="B567" s="25"/>
      <c r="C567" s="25"/>
    </row>
    <row r="568" spans="1:3" x14ac:dyDescent="0.25">
      <c r="A568" s="36"/>
      <c r="B568" s="25"/>
      <c r="C568" s="25"/>
    </row>
    <row r="569" spans="1:3" x14ac:dyDescent="0.25">
      <c r="A569" s="36"/>
      <c r="B569" s="25"/>
      <c r="C569" s="25"/>
    </row>
    <row r="570" spans="1:3" x14ac:dyDescent="0.25">
      <c r="A570" s="36"/>
      <c r="B570" s="25"/>
      <c r="C570" s="25"/>
    </row>
    <row r="571" spans="1:3" x14ac:dyDescent="0.25">
      <c r="A571" s="36"/>
      <c r="B571" s="25"/>
      <c r="C571" s="25"/>
    </row>
    <row r="572" spans="1:3" x14ac:dyDescent="0.25">
      <c r="A572" s="36"/>
      <c r="B572" s="25"/>
      <c r="C572" s="25"/>
    </row>
    <row r="573" spans="1:3" x14ac:dyDescent="0.25">
      <c r="A573" s="36"/>
      <c r="B573" s="25"/>
      <c r="C573" s="25"/>
    </row>
    <row r="574" spans="1:3" x14ac:dyDescent="0.25">
      <c r="A574" s="36"/>
      <c r="B574" s="25"/>
      <c r="C574" s="25"/>
    </row>
    <row r="575" spans="1:3" x14ac:dyDescent="0.25">
      <c r="A575" s="36"/>
      <c r="B575" s="25"/>
      <c r="C575" s="25"/>
    </row>
    <row r="576" spans="1:3" x14ac:dyDescent="0.25">
      <c r="A576" s="36"/>
      <c r="B576" s="25"/>
      <c r="C576" s="25"/>
    </row>
    <row r="577" spans="1:3" x14ac:dyDescent="0.25">
      <c r="A577" s="36"/>
      <c r="B577" s="25"/>
      <c r="C577" s="25"/>
    </row>
    <row r="578" spans="1:3" x14ac:dyDescent="0.25">
      <c r="A578" s="36"/>
      <c r="B578" s="25"/>
      <c r="C578" s="25"/>
    </row>
    <row r="579" spans="1:3" x14ac:dyDescent="0.25">
      <c r="A579" s="36"/>
      <c r="B579" s="25"/>
      <c r="C579" s="25"/>
    </row>
    <row r="580" spans="1:3" x14ac:dyDescent="0.25">
      <c r="A580" s="36"/>
      <c r="B580" s="25"/>
      <c r="C580" s="25"/>
    </row>
    <row r="581" spans="1:3" x14ac:dyDescent="0.25">
      <c r="A581" s="36"/>
      <c r="B581" s="25"/>
      <c r="C581" s="25"/>
    </row>
    <row r="582" spans="1:3" x14ac:dyDescent="0.25">
      <c r="A582" s="36"/>
      <c r="B582" s="25"/>
      <c r="C582" s="25"/>
    </row>
    <row r="583" spans="1:3" x14ac:dyDescent="0.25">
      <c r="A583" s="36"/>
      <c r="B583" s="25"/>
      <c r="C583" s="25"/>
    </row>
    <row r="584" spans="1:3" x14ac:dyDescent="0.25">
      <c r="A584" s="36"/>
      <c r="B584" s="25"/>
      <c r="C584" s="25"/>
    </row>
    <row r="585" spans="1:3" x14ac:dyDescent="0.25">
      <c r="A585" s="36"/>
      <c r="B585" s="25"/>
      <c r="C585" s="25"/>
    </row>
    <row r="586" spans="1:3" x14ac:dyDescent="0.25">
      <c r="A586" s="36"/>
      <c r="B586" s="25"/>
      <c r="C586" s="25"/>
    </row>
    <row r="587" spans="1:3" x14ac:dyDescent="0.25">
      <c r="A587" s="36"/>
      <c r="B587" s="25"/>
      <c r="C587" s="25"/>
    </row>
    <row r="588" spans="1:3" x14ac:dyDescent="0.25">
      <c r="A588" s="36"/>
      <c r="B588" s="25"/>
      <c r="C588" s="25"/>
    </row>
    <row r="589" spans="1:3" x14ac:dyDescent="0.25">
      <c r="A589" s="36"/>
      <c r="B589" s="25"/>
      <c r="C589" s="25"/>
    </row>
    <row r="590" spans="1:3" x14ac:dyDescent="0.25">
      <c r="A590" s="36"/>
      <c r="B590" s="25"/>
      <c r="C590" s="25"/>
    </row>
    <row r="591" spans="1:3" x14ac:dyDescent="0.25">
      <c r="A591" s="36"/>
      <c r="B591" s="25"/>
      <c r="C591" s="25"/>
    </row>
    <row r="592" spans="1:3" x14ac:dyDescent="0.25">
      <c r="A592" s="36"/>
      <c r="B592" s="25"/>
      <c r="C592" s="25"/>
    </row>
    <row r="593" spans="1:3" x14ac:dyDescent="0.25">
      <c r="A593" s="36"/>
      <c r="B593" s="25"/>
      <c r="C593" s="25"/>
    </row>
    <row r="594" spans="1:3" x14ac:dyDescent="0.25">
      <c r="A594" s="36"/>
      <c r="B594" s="25"/>
      <c r="C594" s="25"/>
    </row>
    <row r="595" spans="1:3" x14ac:dyDescent="0.25">
      <c r="A595" s="36"/>
      <c r="B595" s="25"/>
      <c r="C595" s="25"/>
    </row>
    <row r="596" spans="1:3" x14ac:dyDescent="0.25">
      <c r="A596" s="36"/>
      <c r="B596" s="25"/>
      <c r="C596" s="25"/>
    </row>
    <row r="597" spans="1:3" x14ac:dyDescent="0.25">
      <c r="A597" s="36"/>
      <c r="B597" s="25"/>
      <c r="C597" s="25"/>
    </row>
    <row r="598" spans="1:3" x14ac:dyDescent="0.25">
      <c r="A598" s="36"/>
      <c r="B598" s="25"/>
      <c r="C598" s="25"/>
    </row>
    <row r="599" spans="1:3" x14ac:dyDescent="0.25">
      <c r="A599" s="36"/>
      <c r="B599" s="25"/>
      <c r="C599" s="25"/>
    </row>
    <row r="600" spans="1:3" x14ac:dyDescent="0.25">
      <c r="A600" s="36"/>
      <c r="B600" s="25"/>
      <c r="C600" s="25"/>
    </row>
    <row r="601" spans="1:3" x14ac:dyDescent="0.25">
      <c r="A601" s="36"/>
      <c r="B601" s="25"/>
      <c r="C601" s="25"/>
    </row>
    <row r="602" spans="1:3" x14ac:dyDescent="0.25">
      <c r="A602" s="36"/>
      <c r="B602" s="25"/>
      <c r="C602" s="25"/>
    </row>
    <row r="603" spans="1:3" x14ac:dyDescent="0.25">
      <c r="A603" s="36"/>
      <c r="B603" s="25"/>
      <c r="C603" s="25"/>
    </row>
    <row r="604" spans="1:3" x14ac:dyDescent="0.25">
      <c r="A604" s="36"/>
      <c r="B604" s="25"/>
      <c r="C604" s="25"/>
    </row>
    <row r="605" spans="1:3" x14ac:dyDescent="0.25">
      <c r="A605" s="36"/>
      <c r="B605" s="25"/>
      <c r="C605" s="25"/>
    </row>
    <row r="606" spans="1:3" x14ac:dyDescent="0.25">
      <c r="A606" s="36"/>
      <c r="B606" s="25"/>
      <c r="C606" s="25"/>
    </row>
    <row r="607" spans="1:3" x14ac:dyDescent="0.25">
      <c r="A607" s="36"/>
      <c r="B607" s="25"/>
      <c r="C607" s="25"/>
    </row>
    <row r="608" spans="1:3" x14ac:dyDescent="0.25">
      <c r="A608" s="36"/>
      <c r="B608" s="25"/>
      <c r="C608" s="25"/>
    </row>
    <row r="609" spans="1:3" x14ac:dyDescent="0.25">
      <c r="A609" s="36"/>
      <c r="B609" s="25"/>
      <c r="C609" s="25"/>
    </row>
    <row r="610" spans="1:3" x14ac:dyDescent="0.25">
      <c r="A610" s="36"/>
      <c r="B610" s="25"/>
      <c r="C610" s="25"/>
    </row>
    <row r="611" spans="1:3" x14ac:dyDescent="0.25">
      <c r="A611" s="36"/>
      <c r="B611" s="25"/>
      <c r="C611" s="25"/>
    </row>
    <row r="612" spans="1:3" x14ac:dyDescent="0.25">
      <c r="A612" s="36"/>
      <c r="B612" s="25"/>
      <c r="C612" s="25"/>
    </row>
    <row r="613" spans="1:3" x14ac:dyDescent="0.25">
      <c r="A613" s="36"/>
      <c r="B613" s="25"/>
      <c r="C613" s="25"/>
    </row>
    <row r="614" spans="1:3" x14ac:dyDescent="0.25">
      <c r="A614" s="36"/>
      <c r="B614" s="25"/>
      <c r="C614" s="25"/>
    </row>
    <row r="615" spans="1:3" x14ac:dyDescent="0.25">
      <c r="A615" s="36"/>
      <c r="B615" s="25"/>
      <c r="C615" s="25"/>
    </row>
    <row r="616" spans="1:3" x14ac:dyDescent="0.25">
      <c r="A616" s="36"/>
      <c r="B616" s="25"/>
      <c r="C616" s="25"/>
    </row>
    <row r="617" spans="1:3" x14ac:dyDescent="0.25">
      <c r="A617" s="36"/>
      <c r="B617" s="25"/>
      <c r="C617" s="25"/>
    </row>
    <row r="618" spans="1:3" x14ac:dyDescent="0.25">
      <c r="A618" s="36"/>
      <c r="B618" s="25"/>
      <c r="C618" s="25"/>
    </row>
    <row r="619" spans="1:3" x14ac:dyDescent="0.25">
      <c r="A619" s="36"/>
      <c r="B619" s="25"/>
      <c r="C619" s="25"/>
    </row>
    <row r="620" spans="1:3" x14ac:dyDescent="0.25">
      <c r="A620" s="36"/>
      <c r="B620" s="25"/>
      <c r="C620" s="25"/>
    </row>
    <row r="621" spans="1:3" x14ac:dyDescent="0.25">
      <c r="A621" s="36"/>
      <c r="B621" s="25"/>
      <c r="C621" s="25"/>
    </row>
    <row r="622" spans="1:3" x14ac:dyDescent="0.25">
      <c r="A622" s="36"/>
      <c r="B622" s="25"/>
      <c r="C622" s="25"/>
    </row>
    <row r="623" spans="1:3" x14ac:dyDescent="0.25">
      <c r="A623" s="36"/>
      <c r="B623" s="25"/>
      <c r="C623" s="25"/>
    </row>
    <row r="624" spans="1:3" x14ac:dyDescent="0.25">
      <c r="A624" s="36"/>
      <c r="B624" s="25"/>
      <c r="C624" s="25"/>
    </row>
    <row r="625" spans="1:3" x14ac:dyDescent="0.25">
      <c r="A625" s="36"/>
      <c r="B625" s="25"/>
      <c r="C625" s="25"/>
    </row>
    <row r="626" spans="1:3" x14ac:dyDescent="0.25">
      <c r="A626" s="36"/>
      <c r="B626" s="25"/>
      <c r="C626" s="25"/>
    </row>
    <row r="627" spans="1:3" x14ac:dyDescent="0.25">
      <c r="A627" s="36"/>
      <c r="B627" s="25"/>
      <c r="C627" s="25"/>
    </row>
    <row r="628" spans="1:3" x14ac:dyDescent="0.25">
      <c r="A628" s="36"/>
      <c r="B628" s="25"/>
      <c r="C628" s="25"/>
    </row>
    <row r="629" spans="1:3" x14ac:dyDescent="0.25">
      <c r="A629" s="36"/>
      <c r="B629" s="25"/>
      <c r="C629" s="25"/>
    </row>
    <row r="630" spans="1:3" x14ac:dyDescent="0.25">
      <c r="A630" s="36"/>
      <c r="B630" s="25"/>
      <c r="C630" s="25"/>
    </row>
    <row r="631" spans="1:3" x14ac:dyDescent="0.25">
      <c r="A631" s="36"/>
      <c r="B631" s="25"/>
      <c r="C631" s="25"/>
    </row>
    <row r="632" spans="1:3" x14ac:dyDescent="0.25">
      <c r="A632" s="36"/>
      <c r="B632" s="25"/>
      <c r="C632" s="25"/>
    </row>
    <row r="633" spans="1:3" x14ac:dyDescent="0.25">
      <c r="A633" s="36"/>
      <c r="B633" s="25"/>
      <c r="C633" s="25"/>
    </row>
    <row r="634" spans="1:3" x14ac:dyDescent="0.25">
      <c r="A634" s="36"/>
      <c r="B634" s="25"/>
      <c r="C634" s="25"/>
    </row>
    <row r="635" spans="1:3" x14ac:dyDescent="0.25">
      <c r="A635" s="36"/>
      <c r="B635" s="25"/>
      <c r="C635" s="25"/>
    </row>
    <row r="636" spans="1:3" x14ac:dyDescent="0.25">
      <c r="A636" s="36"/>
      <c r="B636" s="25"/>
      <c r="C636" s="25"/>
    </row>
    <row r="637" spans="1:3" x14ac:dyDescent="0.25">
      <c r="A637" s="36"/>
      <c r="B637" s="25"/>
      <c r="C637" s="25"/>
    </row>
    <row r="638" spans="1:3" x14ac:dyDescent="0.25">
      <c r="A638" s="36"/>
      <c r="B638" s="25"/>
      <c r="C638" s="25"/>
    </row>
    <row r="639" spans="1:3" x14ac:dyDescent="0.25">
      <c r="A639" s="36"/>
      <c r="B639" s="25"/>
      <c r="C639" s="25"/>
    </row>
    <row r="640" spans="1:3" x14ac:dyDescent="0.25">
      <c r="A640" s="36"/>
      <c r="B640" s="25"/>
      <c r="C640" s="25"/>
    </row>
    <row r="641" spans="1:3" x14ac:dyDescent="0.25">
      <c r="A641" s="36"/>
      <c r="B641" s="25"/>
      <c r="C641" s="25"/>
    </row>
    <row r="642" spans="1:3" x14ac:dyDescent="0.25">
      <c r="A642" s="36"/>
      <c r="B642" s="25"/>
      <c r="C642" s="25"/>
    </row>
    <row r="643" spans="1:3" x14ac:dyDescent="0.25">
      <c r="A643" s="36"/>
      <c r="B643" s="25"/>
      <c r="C643" s="25"/>
    </row>
    <row r="644" spans="1:3" x14ac:dyDescent="0.25">
      <c r="A644" s="36"/>
      <c r="B644" s="25"/>
      <c r="C644" s="25"/>
    </row>
    <row r="645" spans="1:3" x14ac:dyDescent="0.25">
      <c r="A645" s="36"/>
      <c r="B645" s="25"/>
      <c r="C645" s="25"/>
    </row>
    <row r="646" spans="1:3" x14ac:dyDescent="0.25">
      <c r="A646" s="36"/>
      <c r="B646" s="25"/>
      <c r="C646" s="25"/>
    </row>
    <row r="647" spans="1:3" x14ac:dyDescent="0.25">
      <c r="A647" s="36"/>
      <c r="B647" s="25"/>
      <c r="C647" s="25"/>
    </row>
    <row r="648" spans="1:3" x14ac:dyDescent="0.25">
      <c r="A648" s="36"/>
      <c r="B648" s="25"/>
      <c r="C648" s="25"/>
    </row>
    <row r="649" spans="1:3" x14ac:dyDescent="0.25">
      <c r="A649" s="36"/>
      <c r="B649" s="25"/>
      <c r="C649" s="25"/>
    </row>
    <row r="650" spans="1:3" x14ac:dyDescent="0.25">
      <c r="A650" s="36"/>
      <c r="B650" s="25"/>
      <c r="C650" s="25"/>
    </row>
    <row r="651" spans="1:3" x14ac:dyDescent="0.25">
      <c r="A651" s="36"/>
      <c r="B651" s="25"/>
      <c r="C651" s="25"/>
    </row>
    <row r="652" spans="1:3" x14ac:dyDescent="0.25">
      <c r="A652" s="36"/>
      <c r="B652" s="25"/>
      <c r="C652" s="25"/>
    </row>
    <row r="653" spans="1:3" x14ac:dyDescent="0.25">
      <c r="A653" s="36"/>
      <c r="B653" s="25"/>
      <c r="C653" s="25"/>
    </row>
    <row r="654" spans="1:3" x14ac:dyDescent="0.25">
      <c r="A654" s="36"/>
      <c r="B654" s="25"/>
      <c r="C654" s="25"/>
    </row>
    <row r="655" spans="1:3" x14ac:dyDescent="0.25">
      <c r="A655" s="36"/>
      <c r="B655" s="25"/>
      <c r="C655" s="25"/>
    </row>
    <row r="656" spans="1:3" x14ac:dyDescent="0.25">
      <c r="A656" s="36"/>
      <c r="B656" s="25"/>
      <c r="C656" s="25"/>
    </row>
    <row r="657" spans="1:3" x14ac:dyDescent="0.25">
      <c r="A657" s="36"/>
      <c r="B657" s="25"/>
      <c r="C657" s="25"/>
    </row>
    <row r="658" spans="1:3" x14ac:dyDescent="0.25">
      <c r="A658" s="36"/>
      <c r="B658" s="25"/>
      <c r="C658" s="25"/>
    </row>
    <row r="659" spans="1:3" x14ac:dyDescent="0.25">
      <c r="A659" s="36"/>
      <c r="B659" s="25"/>
      <c r="C659" s="25"/>
    </row>
    <row r="660" spans="1:3" x14ac:dyDescent="0.25">
      <c r="A660" s="36"/>
      <c r="B660" s="25"/>
      <c r="C660" s="25"/>
    </row>
    <row r="661" spans="1:3" x14ac:dyDescent="0.25">
      <c r="A661" s="36"/>
      <c r="B661" s="25"/>
      <c r="C661" s="25"/>
    </row>
    <row r="662" spans="1:3" x14ac:dyDescent="0.25">
      <c r="A662" s="36"/>
      <c r="B662" s="25"/>
      <c r="C662" s="25"/>
    </row>
    <row r="663" spans="1:3" x14ac:dyDescent="0.25">
      <c r="A663" s="36"/>
      <c r="B663" s="25"/>
      <c r="C663" s="25"/>
    </row>
    <row r="664" spans="1:3" x14ac:dyDescent="0.25">
      <c r="A664" s="36"/>
      <c r="B664" s="25"/>
      <c r="C664" s="25"/>
    </row>
    <row r="665" spans="1:3" x14ac:dyDescent="0.25">
      <c r="A665" s="36"/>
      <c r="B665" s="25"/>
      <c r="C665" s="25"/>
    </row>
    <row r="666" spans="1:3" x14ac:dyDescent="0.25">
      <c r="A666" s="36"/>
      <c r="B666" s="25"/>
      <c r="C666" s="25"/>
    </row>
    <row r="667" spans="1:3" x14ac:dyDescent="0.25">
      <c r="A667" s="36"/>
      <c r="B667" s="25"/>
      <c r="C667" s="25"/>
    </row>
    <row r="668" spans="1:3" x14ac:dyDescent="0.25">
      <c r="A668" s="36"/>
      <c r="B668" s="25"/>
      <c r="C668" s="25"/>
    </row>
    <row r="669" spans="1:3" x14ac:dyDescent="0.25">
      <c r="A669" s="36"/>
      <c r="B669" s="25"/>
      <c r="C669" s="25"/>
    </row>
    <row r="670" spans="1:3" x14ac:dyDescent="0.25">
      <c r="A670" s="36"/>
      <c r="B670" s="25"/>
      <c r="C670" s="25"/>
    </row>
    <row r="671" spans="1:3" x14ac:dyDescent="0.25">
      <c r="A671" s="36"/>
      <c r="B671" s="25"/>
      <c r="C671" s="25"/>
    </row>
    <row r="672" spans="1:3" x14ac:dyDescent="0.25">
      <c r="A672" s="36"/>
      <c r="B672" s="25"/>
      <c r="C672" s="25"/>
    </row>
    <row r="673" spans="1:3" x14ac:dyDescent="0.25">
      <c r="A673" s="36"/>
      <c r="B673" s="25"/>
      <c r="C673" s="25"/>
    </row>
    <row r="674" spans="1:3" x14ac:dyDescent="0.25">
      <c r="A674" s="36"/>
      <c r="B674" s="25"/>
      <c r="C674" s="25"/>
    </row>
    <row r="675" spans="1:3" x14ac:dyDescent="0.25">
      <c r="A675" s="36"/>
      <c r="B675" s="25"/>
      <c r="C675" s="25"/>
    </row>
    <row r="676" spans="1:3" x14ac:dyDescent="0.25">
      <c r="A676" s="36"/>
      <c r="B676" s="25"/>
      <c r="C676" s="25"/>
    </row>
    <row r="677" spans="1:3" x14ac:dyDescent="0.25">
      <c r="A677" s="36"/>
      <c r="B677" s="25"/>
      <c r="C677" s="25"/>
    </row>
    <row r="678" spans="1:3" x14ac:dyDescent="0.25">
      <c r="A678" s="36"/>
      <c r="B678" s="25"/>
      <c r="C678" s="25"/>
    </row>
    <row r="679" spans="1:3" x14ac:dyDescent="0.25">
      <c r="A679" s="36"/>
      <c r="B679" s="25"/>
      <c r="C679" s="25"/>
    </row>
    <row r="680" spans="1:3" x14ac:dyDescent="0.25">
      <c r="A680" s="36"/>
      <c r="B680" s="25"/>
      <c r="C680" s="25"/>
    </row>
    <row r="681" spans="1:3" x14ac:dyDescent="0.25">
      <c r="A681" s="36"/>
      <c r="B681" s="25"/>
      <c r="C681" s="25"/>
    </row>
    <row r="682" spans="1:3" x14ac:dyDescent="0.25">
      <c r="A682" s="36"/>
      <c r="B682" s="25"/>
      <c r="C682" s="25"/>
    </row>
    <row r="683" spans="1:3" x14ac:dyDescent="0.25">
      <c r="A683" s="36"/>
      <c r="B683" s="25"/>
      <c r="C683" s="25"/>
    </row>
    <row r="684" spans="1:3" x14ac:dyDescent="0.25">
      <c r="A684" s="36"/>
      <c r="B684" s="25"/>
      <c r="C684" s="25"/>
    </row>
    <row r="685" spans="1:3" x14ac:dyDescent="0.25">
      <c r="A685" s="36"/>
      <c r="B685" s="25"/>
      <c r="C685" s="25"/>
    </row>
    <row r="686" spans="1:3" x14ac:dyDescent="0.25">
      <c r="A686" s="36"/>
      <c r="B686" s="25"/>
      <c r="C686" s="25"/>
    </row>
    <row r="687" spans="1:3" x14ac:dyDescent="0.25">
      <c r="A687" s="36"/>
      <c r="B687" s="25"/>
      <c r="C687" s="25"/>
    </row>
    <row r="688" spans="1:3" x14ac:dyDescent="0.25">
      <c r="A688" s="36"/>
      <c r="B688" s="25"/>
      <c r="C688" s="25"/>
    </row>
    <row r="689" spans="1:3" x14ac:dyDescent="0.25">
      <c r="A689" s="36"/>
      <c r="B689" s="25"/>
      <c r="C689" s="25"/>
    </row>
    <row r="690" spans="1:3" x14ac:dyDescent="0.25">
      <c r="A690" s="36"/>
      <c r="B690" s="25"/>
      <c r="C690" s="25"/>
    </row>
    <row r="691" spans="1:3" x14ac:dyDescent="0.25">
      <c r="A691" s="36"/>
      <c r="B691" s="25"/>
      <c r="C691" s="25"/>
    </row>
    <row r="692" spans="1:3" x14ac:dyDescent="0.25">
      <c r="A692" s="36"/>
      <c r="B692" s="25"/>
      <c r="C692" s="25"/>
    </row>
    <row r="693" spans="1:3" x14ac:dyDescent="0.25">
      <c r="A693" s="36"/>
      <c r="B693" s="25"/>
      <c r="C693" s="25"/>
    </row>
    <row r="694" spans="1:3" x14ac:dyDescent="0.25">
      <c r="A694" s="36"/>
      <c r="B694" s="25"/>
      <c r="C694" s="25"/>
    </row>
    <row r="695" spans="1:3" x14ac:dyDescent="0.25">
      <c r="A695" s="36"/>
      <c r="B695" s="25"/>
      <c r="C695" s="25"/>
    </row>
    <row r="696" spans="1:3" x14ac:dyDescent="0.25">
      <c r="A696" s="36"/>
      <c r="B696" s="25"/>
      <c r="C696" s="25"/>
    </row>
    <row r="697" spans="1:3" x14ac:dyDescent="0.25">
      <c r="A697" s="36"/>
      <c r="B697" s="25"/>
      <c r="C697" s="25"/>
    </row>
    <row r="698" spans="1:3" x14ac:dyDescent="0.25">
      <c r="A698" s="36"/>
      <c r="B698" s="25"/>
      <c r="C698" s="25"/>
    </row>
    <row r="699" spans="1:3" x14ac:dyDescent="0.25">
      <c r="A699" s="36"/>
      <c r="B699" s="25"/>
      <c r="C699" s="25"/>
    </row>
    <row r="700" spans="1:3" x14ac:dyDescent="0.25">
      <c r="A700" s="36"/>
      <c r="B700" s="25"/>
      <c r="C700" s="25"/>
    </row>
    <row r="701" spans="1:3" x14ac:dyDescent="0.25">
      <c r="A701" s="36"/>
      <c r="B701" s="25"/>
      <c r="C701" s="25"/>
    </row>
    <row r="702" spans="1:3" x14ac:dyDescent="0.25">
      <c r="A702" s="36"/>
      <c r="B702" s="25"/>
      <c r="C702" s="25"/>
    </row>
    <row r="703" spans="1:3" x14ac:dyDescent="0.25">
      <c r="A703" s="36"/>
      <c r="B703" s="25"/>
      <c r="C703" s="25"/>
    </row>
    <row r="704" spans="1:3" x14ac:dyDescent="0.25">
      <c r="A704" s="36"/>
      <c r="B704" s="25"/>
      <c r="C704" s="25"/>
    </row>
    <row r="705" spans="1:3" x14ac:dyDescent="0.25">
      <c r="A705" s="36"/>
      <c r="B705" s="25"/>
      <c r="C705" s="25"/>
    </row>
    <row r="706" spans="1:3" x14ac:dyDescent="0.25">
      <c r="A706" s="36"/>
      <c r="B706" s="25"/>
      <c r="C706" s="25"/>
    </row>
    <row r="707" spans="1:3" x14ac:dyDescent="0.25">
      <c r="A707" s="36"/>
      <c r="B707" s="25"/>
      <c r="C707" s="25"/>
    </row>
    <row r="708" spans="1:3" x14ac:dyDescent="0.25">
      <c r="A708" s="36"/>
      <c r="B708" s="25"/>
      <c r="C708" s="25"/>
    </row>
    <row r="709" spans="1:3" x14ac:dyDescent="0.25">
      <c r="A709" s="36"/>
      <c r="B709" s="25"/>
      <c r="C709" s="25"/>
    </row>
    <row r="710" spans="1:3" x14ac:dyDescent="0.25">
      <c r="A710" s="36"/>
      <c r="B710" s="25"/>
      <c r="C710" s="25"/>
    </row>
    <row r="711" spans="1:3" x14ac:dyDescent="0.25">
      <c r="A711" s="36"/>
      <c r="B711" s="25"/>
      <c r="C711" s="25"/>
    </row>
    <row r="712" spans="1:3" x14ac:dyDescent="0.25">
      <c r="A712" s="36"/>
      <c r="B712" s="25"/>
      <c r="C712" s="25"/>
    </row>
    <row r="713" spans="1:3" x14ac:dyDescent="0.25">
      <c r="A713" s="36"/>
      <c r="B713" s="25"/>
      <c r="C713" s="25"/>
    </row>
    <row r="714" spans="1:3" x14ac:dyDescent="0.25">
      <c r="A714" s="36"/>
      <c r="B714" s="25"/>
      <c r="C714" s="25"/>
    </row>
    <row r="715" spans="1:3" x14ac:dyDescent="0.25">
      <c r="A715" s="36"/>
      <c r="B715" s="25"/>
      <c r="C715" s="25"/>
    </row>
    <row r="716" spans="1:3" x14ac:dyDescent="0.25">
      <c r="A716" s="36"/>
      <c r="B716" s="25"/>
      <c r="C716" s="25"/>
    </row>
    <row r="717" spans="1:3" x14ac:dyDescent="0.25">
      <c r="A717" s="36"/>
      <c r="B717" s="25"/>
      <c r="C717" s="25"/>
    </row>
    <row r="718" spans="1:3" x14ac:dyDescent="0.25">
      <c r="A718" s="36"/>
      <c r="B718" s="25"/>
      <c r="C718" s="25"/>
    </row>
    <row r="719" spans="1:3" x14ac:dyDescent="0.25">
      <c r="A719" s="36"/>
      <c r="B719" s="25"/>
      <c r="C719" s="25"/>
    </row>
    <row r="720" spans="1:3" x14ac:dyDescent="0.25">
      <c r="A720" s="36"/>
      <c r="B720" s="25"/>
      <c r="C720" s="25"/>
    </row>
    <row r="721" spans="1:3" x14ac:dyDescent="0.25">
      <c r="A721" s="36"/>
      <c r="B721" s="25"/>
      <c r="C721" s="25"/>
    </row>
    <row r="722" spans="1:3" x14ac:dyDescent="0.25">
      <c r="A722" s="36"/>
      <c r="B722" s="25"/>
      <c r="C722" s="25"/>
    </row>
    <row r="723" spans="1:3" x14ac:dyDescent="0.25">
      <c r="A723" s="36"/>
      <c r="B723" s="25"/>
      <c r="C723" s="25"/>
    </row>
    <row r="724" spans="1:3" x14ac:dyDescent="0.25">
      <c r="A724" s="36"/>
      <c r="B724" s="25"/>
      <c r="C724" s="25"/>
    </row>
    <row r="725" spans="1:3" x14ac:dyDescent="0.25">
      <c r="A725" s="36"/>
      <c r="B725" s="25"/>
      <c r="C725" s="25"/>
    </row>
    <row r="726" spans="1:3" x14ac:dyDescent="0.25">
      <c r="A726" s="36"/>
      <c r="B726" s="25"/>
      <c r="C726" s="25"/>
    </row>
    <row r="727" spans="1:3" x14ac:dyDescent="0.25">
      <c r="A727" s="36"/>
      <c r="B727" s="25"/>
      <c r="C727" s="25"/>
    </row>
    <row r="728" spans="1:3" x14ac:dyDescent="0.25">
      <c r="A728" s="36"/>
      <c r="B728" s="25"/>
      <c r="C728" s="25"/>
    </row>
    <row r="729" spans="1:3" x14ac:dyDescent="0.25">
      <c r="A729" s="36"/>
      <c r="B729" s="25"/>
      <c r="C729" s="25"/>
    </row>
    <row r="730" spans="1:3" x14ac:dyDescent="0.25">
      <c r="A730" s="36"/>
      <c r="B730" s="25"/>
      <c r="C730" s="25"/>
    </row>
    <row r="731" spans="1:3" x14ac:dyDescent="0.25">
      <c r="A731" s="36"/>
      <c r="B731" s="25"/>
      <c r="C731" s="25"/>
    </row>
    <row r="732" spans="1:3" x14ac:dyDescent="0.25">
      <c r="A732" s="36"/>
      <c r="B732" s="25"/>
      <c r="C732" s="25"/>
    </row>
    <row r="733" spans="1:3" x14ac:dyDescent="0.25">
      <c r="A733" s="36"/>
      <c r="B733" s="25"/>
      <c r="C733" s="25"/>
    </row>
    <row r="734" spans="1:3" x14ac:dyDescent="0.25">
      <c r="A734" s="36"/>
      <c r="B734" s="25"/>
      <c r="C734" s="25"/>
    </row>
    <row r="735" spans="1:3" x14ac:dyDescent="0.25">
      <c r="A735" s="36"/>
      <c r="B735" s="25"/>
      <c r="C735" s="25"/>
    </row>
    <row r="736" spans="1:3" x14ac:dyDescent="0.25">
      <c r="A736" s="36"/>
      <c r="B736" s="25"/>
      <c r="C736" s="25"/>
    </row>
    <row r="737" spans="1:3" x14ac:dyDescent="0.25">
      <c r="A737" s="36"/>
      <c r="B737" s="25"/>
      <c r="C737" s="25"/>
    </row>
    <row r="738" spans="1:3" x14ac:dyDescent="0.25">
      <c r="A738" s="36"/>
      <c r="B738" s="25"/>
      <c r="C738" s="25"/>
    </row>
    <row r="739" spans="1:3" x14ac:dyDescent="0.25">
      <c r="A739" s="36"/>
      <c r="B739" s="25"/>
      <c r="C739" s="25"/>
    </row>
    <row r="740" spans="1:3" x14ac:dyDescent="0.25">
      <c r="A740" s="36"/>
      <c r="B740" s="25"/>
      <c r="C740" s="25"/>
    </row>
    <row r="741" spans="1:3" x14ac:dyDescent="0.25">
      <c r="A741" s="36"/>
      <c r="B741" s="25"/>
      <c r="C741" s="25"/>
    </row>
    <row r="742" spans="1:3" x14ac:dyDescent="0.25">
      <c r="A742" s="36"/>
      <c r="B742" s="25"/>
      <c r="C742" s="25"/>
    </row>
    <row r="743" spans="1:3" x14ac:dyDescent="0.25">
      <c r="A743" s="36"/>
      <c r="B743" s="25"/>
      <c r="C743" s="25"/>
    </row>
    <row r="744" spans="1:3" x14ac:dyDescent="0.25">
      <c r="A744" s="36"/>
      <c r="B744" s="25"/>
      <c r="C744" s="25"/>
    </row>
    <row r="745" spans="1:3" x14ac:dyDescent="0.25">
      <c r="A745" s="36"/>
      <c r="B745" s="25"/>
      <c r="C745" s="25"/>
    </row>
    <row r="746" spans="1:3" x14ac:dyDescent="0.25">
      <c r="A746" s="36"/>
      <c r="B746" s="25"/>
      <c r="C746" s="25"/>
    </row>
    <row r="747" spans="1:3" x14ac:dyDescent="0.25">
      <c r="A747" s="36"/>
      <c r="B747" s="25"/>
      <c r="C747" s="25"/>
    </row>
    <row r="748" spans="1:3" x14ac:dyDescent="0.25">
      <c r="A748" s="36"/>
      <c r="B748" s="25"/>
      <c r="C748" s="25"/>
    </row>
    <row r="749" spans="1:3" x14ac:dyDescent="0.25">
      <c r="A749" s="36"/>
      <c r="B749" s="25"/>
      <c r="C749" s="25"/>
    </row>
    <row r="750" spans="1:3" x14ac:dyDescent="0.25">
      <c r="A750" s="36"/>
      <c r="B750" s="25"/>
      <c r="C750" s="25"/>
    </row>
    <row r="751" spans="1:3" x14ac:dyDescent="0.25">
      <c r="A751" s="36"/>
      <c r="B751" s="25"/>
      <c r="C751" s="25"/>
    </row>
    <row r="752" spans="1:3" x14ac:dyDescent="0.25">
      <c r="A752" s="36"/>
      <c r="B752" s="25"/>
      <c r="C752" s="25"/>
    </row>
    <row r="753" spans="1:3" x14ac:dyDescent="0.25">
      <c r="A753" s="36"/>
      <c r="B753" s="25"/>
      <c r="C753" s="25"/>
    </row>
    <row r="754" spans="1:3" x14ac:dyDescent="0.25">
      <c r="A754" s="36"/>
      <c r="B754" s="25"/>
      <c r="C754" s="25"/>
    </row>
    <row r="755" spans="1:3" x14ac:dyDescent="0.25">
      <c r="A755" s="36"/>
      <c r="B755" s="25"/>
      <c r="C755" s="25"/>
    </row>
    <row r="756" spans="1:3" x14ac:dyDescent="0.25">
      <c r="A756" s="36"/>
      <c r="B756" s="25"/>
      <c r="C756" s="25"/>
    </row>
    <row r="757" spans="1:3" x14ac:dyDescent="0.25">
      <c r="A757" s="36"/>
      <c r="B757" s="25"/>
      <c r="C757" s="25"/>
    </row>
    <row r="758" spans="1:3" x14ac:dyDescent="0.25">
      <c r="A758" s="36"/>
      <c r="B758" s="25"/>
      <c r="C758" s="25"/>
    </row>
    <row r="759" spans="1:3" x14ac:dyDescent="0.25">
      <c r="A759" s="36"/>
      <c r="B759" s="25"/>
      <c r="C759" s="25"/>
    </row>
    <row r="760" spans="1:3" x14ac:dyDescent="0.25">
      <c r="A760" s="36"/>
      <c r="B760" s="25"/>
      <c r="C760" s="25"/>
    </row>
    <row r="761" spans="1:3" x14ac:dyDescent="0.25">
      <c r="A761" s="36"/>
      <c r="B761" s="25"/>
      <c r="C761" s="25"/>
    </row>
    <row r="762" spans="1:3" x14ac:dyDescent="0.25">
      <c r="A762" s="36"/>
      <c r="B762" s="25"/>
      <c r="C762" s="25"/>
    </row>
    <row r="763" spans="1:3" x14ac:dyDescent="0.25">
      <c r="A763" s="36"/>
      <c r="B763" s="25"/>
      <c r="C763" s="25"/>
    </row>
    <row r="764" spans="1:3" x14ac:dyDescent="0.25">
      <c r="A764" s="36"/>
      <c r="B764" s="25"/>
      <c r="C764" s="25"/>
    </row>
    <row r="765" spans="1:3" x14ac:dyDescent="0.25">
      <c r="A765" s="36"/>
      <c r="B765" s="25"/>
      <c r="C765" s="25"/>
    </row>
    <row r="766" spans="1:3" x14ac:dyDescent="0.25">
      <c r="A766" s="36"/>
      <c r="B766" s="25"/>
      <c r="C766" s="25"/>
    </row>
    <row r="767" spans="1:3" x14ac:dyDescent="0.25">
      <c r="A767" s="36"/>
      <c r="B767" s="25"/>
      <c r="C767" s="25"/>
    </row>
    <row r="768" spans="1:3" x14ac:dyDescent="0.25">
      <c r="A768" s="36"/>
      <c r="B768" s="25"/>
      <c r="C768" s="25"/>
    </row>
    <row r="769" spans="1:3" x14ac:dyDescent="0.25">
      <c r="A769" s="36"/>
      <c r="B769" s="25"/>
      <c r="C769" s="25"/>
    </row>
    <row r="770" spans="1:3" x14ac:dyDescent="0.25">
      <c r="A770" s="36"/>
      <c r="B770" s="25"/>
      <c r="C770" s="25"/>
    </row>
    <row r="771" spans="1:3" x14ac:dyDescent="0.25">
      <c r="A771" s="36"/>
      <c r="B771" s="25"/>
      <c r="C771" s="25"/>
    </row>
    <row r="772" spans="1:3" x14ac:dyDescent="0.25">
      <c r="A772" s="36"/>
      <c r="B772" s="25"/>
      <c r="C772" s="25"/>
    </row>
    <row r="773" spans="1:3" x14ac:dyDescent="0.25">
      <c r="A773" s="36"/>
      <c r="B773" s="25"/>
      <c r="C773" s="25"/>
    </row>
    <row r="774" spans="1:3" x14ac:dyDescent="0.25">
      <c r="A774" s="36"/>
      <c r="B774" s="25"/>
      <c r="C774" s="25"/>
    </row>
    <row r="775" spans="1:3" x14ac:dyDescent="0.25">
      <c r="A775" s="36"/>
      <c r="B775" s="25"/>
      <c r="C775" s="25"/>
    </row>
    <row r="776" spans="1:3" x14ac:dyDescent="0.25">
      <c r="A776" s="36"/>
      <c r="B776" s="25"/>
      <c r="C776" s="25"/>
    </row>
    <row r="777" spans="1:3" x14ac:dyDescent="0.25">
      <c r="A777" s="36"/>
      <c r="B777" s="25"/>
      <c r="C777" s="25"/>
    </row>
    <row r="778" spans="1:3" x14ac:dyDescent="0.25">
      <c r="A778" s="36"/>
      <c r="B778" s="25"/>
      <c r="C778" s="25"/>
    </row>
    <row r="779" spans="1:3" x14ac:dyDescent="0.25">
      <c r="A779" s="36"/>
      <c r="B779" s="25"/>
      <c r="C779" s="25"/>
    </row>
    <row r="780" spans="1:3" x14ac:dyDescent="0.25">
      <c r="A780" s="36"/>
      <c r="B780" s="25"/>
      <c r="C780" s="25"/>
    </row>
    <row r="781" spans="1:3" x14ac:dyDescent="0.25">
      <c r="A781" s="36"/>
      <c r="B781" s="25"/>
      <c r="C781" s="25"/>
    </row>
    <row r="782" spans="1:3" x14ac:dyDescent="0.25">
      <c r="A782" s="36"/>
      <c r="B782" s="25"/>
      <c r="C782" s="25"/>
    </row>
    <row r="783" spans="1:3" x14ac:dyDescent="0.25">
      <c r="A783" s="36"/>
      <c r="B783" s="25"/>
      <c r="C783" s="25"/>
    </row>
    <row r="784" spans="1:3" x14ac:dyDescent="0.25">
      <c r="A784" s="36"/>
      <c r="B784" s="25"/>
      <c r="C784" s="25"/>
    </row>
    <row r="785" spans="1:3" x14ac:dyDescent="0.25">
      <c r="A785" s="36"/>
      <c r="B785" s="25"/>
      <c r="C785" s="25"/>
    </row>
    <row r="786" spans="1:3" x14ac:dyDescent="0.25">
      <c r="A786" s="36"/>
      <c r="B786" s="25"/>
      <c r="C786" s="25"/>
    </row>
    <row r="787" spans="1:3" x14ac:dyDescent="0.25">
      <c r="A787" s="36"/>
      <c r="B787" s="25"/>
      <c r="C787" s="25"/>
    </row>
    <row r="788" spans="1:3" x14ac:dyDescent="0.25">
      <c r="A788" s="36"/>
      <c r="B788" s="25"/>
      <c r="C788" s="25"/>
    </row>
    <row r="789" spans="1:3" x14ac:dyDescent="0.25">
      <c r="A789" s="36"/>
      <c r="B789" s="25"/>
      <c r="C789" s="25"/>
    </row>
    <row r="790" spans="1:3" x14ac:dyDescent="0.25">
      <c r="A790" s="36"/>
      <c r="B790" s="25"/>
      <c r="C790" s="25"/>
    </row>
    <row r="791" spans="1:3" x14ac:dyDescent="0.25">
      <c r="A791" s="36"/>
      <c r="B791" s="25"/>
      <c r="C791" s="25"/>
    </row>
    <row r="792" spans="1:3" x14ac:dyDescent="0.25">
      <c r="A792" s="36"/>
      <c r="B792" s="25"/>
      <c r="C792" s="25"/>
    </row>
    <row r="793" spans="1:3" x14ac:dyDescent="0.25">
      <c r="A793" s="36"/>
      <c r="B793" s="25"/>
      <c r="C793" s="25"/>
    </row>
    <row r="794" spans="1:3" x14ac:dyDescent="0.25">
      <c r="A794" s="36"/>
      <c r="B794" s="25"/>
      <c r="C794" s="25"/>
    </row>
    <row r="795" spans="1:3" x14ac:dyDescent="0.25">
      <c r="A795" s="36"/>
      <c r="B795" s="25"/>
      <c r="C795" s="25"/>
    </row>
    <row r="796" spans="1:3" x14ac:dyDescent="0.25">
      <c r="A796" s="36"/>
      <c r="B796" s="25"/>
      <c r="C796" s="25"/>
    </row>
    <row r="797" spans="1:3" x14ac:dyDescent="0.25">
      <c r="A797" s="36"/>
      <c r="B797" s="25"/>
      <c r="C797" s="25"/>
    </row>
    <row r="798" spans="1:3" x14ac:dyDescent="0.25">
      <c r="A798" s="36"/>
      <c r="B798" s="25"/>
      <c r="C798" s="25"/>
    </row>
    <row r="799" spans="1:3" x14ac:dyDescent="0.25">
      <c r="A799" s="36"/>
      <c r="B799" s="25"/>
      <c r="C799" s="25"/>
    </row>
    <row r="800" spans="1:3" x14ac:dyDescent="0.25">
      <c r="A800" s="36"/>
      <c r="B800" s="25"/>
      <c r="C800" s="25"/>
    </row>
    <row r="801" spans="1:3" x14ac:dyDescent="0.25">
      <c r="A801" s="36"/>
      <c r="B801" s="25"/>
      <c r="C801" s="25"/>
    </row>
    <row r="802" spans="1:3" x14ac:dyDescent="0.25">
      <c r="A802" s="36"/>
      <c r="B802" s="25"/>
      <c r="C802" s="25"/>
    </row>
    <row r="803" spans="1:3" x14ac:dyDescent="0.25">
      <c r="A803" s="36"/>
      <c r="B803" s="25"/>
      <c r="C803" s="25"/>
    </row>
    <row r="804" spans="1:3" x14ac:dyDescent="0.25">
      <c r="A804" s="36"/>
      <c r="B804" s="25"/>
      <c r="C804" s="25"/>
    </row>
    <row r="805" spans="1:3" x14ac:dyDescent="0.25">
      <c r="A805" s="36"/>
      <c r="B805" s="25"/>
      <c r="C805" s="25"/>
    </row>
    <row r="806" spans="1:3" x14ac:dyDescent="0.25">
      <c r="A806" s="36"/>
      <c r="B806" s="25"/>
      <c r="C806" s="25"/>
    </row>
    <row r="807" spans="1:3" x14ac:dyDescent="0.25">
      <c r="A807" s="36"/>
      <c r="B807" s="25"/>
      <c r="C807" s="25"/>
    </row>
    <row r="808" spans="1:3" x14ac:dyDescent="0.25">
      <c r="A808" s="36"/>
      <c r="B808" s="25"/>
      <c r="C808" s="25"/>
    </row>
    <row r="809" spans="1:3" x14ac:dyDescent="0.25">
      <c r="A809" s="36"/>
      <c r="B809" s="25"/>
      <c r="C809" s="25"/>
    </row>
    <row r="810" spans="1:3" x14ac:dyDescent="0.25">
      <c r="A810" s="36"/>
      <c r="B810" s="25"/>
      <c r="C810" s="25"/>
    </row>
    <row r="811" spans="1:3" x14ac:dyDescent="0.25">
      <c r="A811" s="36"/>
      <c r="B811" s="25"/>
      <c r="C811" s="25"/>
    </row>
    <row r="812" spans="1:3" x14ac:dyDescent="0.25">
      <c r="A812" s="36"/>
      <c r="B812" s="25"/>
      <c r="C812" s="25"/>
    </row>
    <row r="813" spans="1:3" x14ac:dyDescent="0.25">
      <c r="A813" s="36"/>
      <c r="B813" s="25"/>
      <c r="C813" s="25"/>
    </row>
    <row r="814" spans="1:3" x14ac:dyDescent="0.25">
      <c r="A814" s="36"/>
      <c r="B814" s="25"/>
      <c r="C814" s="25"/>
    </row>
    <row r="815" spans="1:3" x14ac:dyDescent="0.25">
      <c r="A815" s="36"/>
      <c r="B815" s="25"/>
      <c r="C815" s="25"/>
    </row>
    <row r="816" spans="1:3" x14ac:dyDescent="0.25">
      <c r="A816" s="36"/>
      <c r="B816" s="25"/>
      <c r="C816" s="25"/>
    </row>
    <row r="817" spans="1:3" x14ac:dyDescent="0.25">
      <c r="A817" s="36"/>
      <c r="B817" s="25"/>
      <c r="C817" s="25"/>
    </row>
    <row r="818" spans="1:3" x14ac:dyDescent="0.25">
      <c r="A818" s="36"/>
      <c r="B818" s="25"/>
      <c r="C818" s="25"/>
    </row>
    <row r="819" spans="1:3" x14ac:dyDescent="0.25">
      <c r="A819" s="36"/>
      <c r="B819" s="25"/>
      <c r="C819" s="25"/>
    </row>
    <row r="820" spans="1:3" x14ac:dyDescent="0.25">
      <c r="A820" s="36"/>
      <c r="B820" s="25"/>
      <c r="C820" s="25"/>
    </row>
    <row r="821" spans="1:3" x14ac:dyDescent="0.25">
      <c r="A821" s="36"/>
      <c r="B821" s="25"/>
      <c r="C821" s="25"/>
    </row>
    <row r="822" spans="1:3" x14ac:dyDescent="0.25">
      <c r="A822" s="36"/>
      <c r="B822" s="25"/>
      <c r="C822" s="25"/>
    </row>
    <row r="823" spans="1:3" x14ac:dyDescent="0.25">
      <c r="A823" s="36"/>
      <c r="B823" s="25"/>
      <c r="C823" s="25"/>
    </row>
    <row r="824" spans="1:3" x14ac:dyDescent="0.25">
      <c r="A824" s="36"/>
      <c r="B824" s="25"/>
      <c r="C824" s="25"/>
    </row>
    <row r="825" spans="1:3" x14ac:dyDescent="0.25">
      <c r="A825" s="36"/>
      <c r="B825" s="25"/>
      <c r="C825" s="25"/>
    </row>
    <row r="826" spans="1:3" x14ac:dyDescent="0.25">
      <c r="A826" s="36"/>
      <c r="B826" s="25"/>
      <c r="C826" s="25"/>
    </row>
    <row r="827" spans="1:3" x14ac:dyDescent="0.25">
      <c r="A827" s="36"/>
      <c r="B827" s="25"/>
      <c r="C827" s="25"/>
    </row>
    <row r="828" spans="1:3" x14ac:dyDescent="0.25">
      <c r="A828" s="36"/>
      <c r="B828" s="25"/>
      <c r="C828" s="25"/>
    </row>
    <row r="829" spans="1:3" x14ac:dyDescent="0.25">
      <c r="A829" s="36"/>
      <c r="B829" s="25"/>
      <c r="C829" s="25"/>
    </row>
    <row r="830" spans="1:3" x14ac:dyDescent="0.25">
      <c r="A830" s="36"/>
      <c r="B830" s="25"/>
      <c r="C830" s="25"/>
    </row>
    <row r="831" spans="1:3" x14ac:dyDescent="0.25">
      <c r="A831" s="36"/>
      <c r="B831" s="25"/>
      <c r="C831" s="25"/>
    </row>
    <row r="832" spans="1:3" x14ac:dyDescent="0.25">
      <c r="A832" s="36"/>
      <c r="B832" s="25"/>
      <c r="C832" s="25"/>
    </row>
    <row r="833" spans="1:3" x14ac:dyDescent="0.25">
      <c r="A833" s="36"/>
      <c r="B833" s="25"/>
      <c r="C833" s="25"/>
    </row>
    <row r="834" spans="1:3" x14ac:dyDescent="0.25">
      <c r="A834" s="36"/>
      <c r="B834" s="25"/>
      <c r="C834" s="25"/>
    </row>
    <row r="835" spans="1:3" x14ac:dyDescent="0.25">
      <c r="A835" s="36"/>
      <c r="B835" s="25"/>
      <c r="C835" s="25"/>
    </row>
    <row r="836" spans="1:3" x14ac:dyDescent="0.25">
      <c r="A836" s="36"/>
      <c r="B836" s="25"/>
      <c r="C836" s="25"/>
    </row>
    <row r="837" spans="1:3" x14ac:dyDescent="0.25">
      <c r="A837" s="36"/>
      <c r="B837" s="25"/>
      <c r="C837" s="25"/>
    </row>
    <row r="838" spans="1:3" x14ac:dyDescent="0.25">
      <c r="A838" s="36"/>
      <c r="B838" s="25"/>
      <c r="C838" s="25"/>
    </row>
    <row r="839" spans="1:3" x14ac:dyDescent="0.25">
      <c r="A839" s="36"/>
      <c r="B839" s="25"/>
      <c r="C839" s="25"/>
    </row>
    <row r="840" spans="1:3" x14ac:dyDescent="0.25">
      <c r="A840" s="36"/>
      <c r="B840" s="25"/>
      <c r="C840" s="25"/>
    </row>
    <row r="841" spans="1:3" x14ac:dyDescent="0.25">
      <c r="A841" s="36"/>
      <c r="B841" s="25"/>
      <c r="C841" s="25"/>
    </row>
    <row r="842" spans="1:3" x14ac:dyDescent="0.25">
      <c r="A842" s="36"/>
      <c r="B842" s="25"/>
      <c r="C842" s="25"/>
    </row>
    <row r="843" spans="1:3" x14ac:dyDescent="0.25">
      <c r="A843" s="36"/>
      <c r="B843" s="25"/>
      <c r="C843" s="25"/>
    </row>
    <row r="844" spans="1:3" x14ac:dyDescent="0.25">
      <c r="A844" s="36"/>
      <c r="B844" s="25"/>
      <c r="C844" s="25"/>
    </row>
    <row r="845" spans="1:3" x14ac:dyDescent="0.25">
      <c r="A845" s="36"/>
      <c r="B845" s="25"/>
      <c r="C845" s="25"/>
    </row>
    <row r="846" spans="1:3" x14ac:dyDescent="0.25">
      <c r="A846" s="36"/>
      <c r="B846" s="25"/>
      <c r="C846" s="25"/>
    </row>
    <row r="847" spans="1:3" x14ac:dyDescent="0.25">
      <c r="A847" s="36"/>
      <c r="B847" s="25"/>
      <c r="C847" s="25"/>
    </row>
    <row r="848" spans="1:3" x14ac:dyDescent="0.25">
      <c r="A848" s="36"/>
      <c r="B848" s="25"/>
      <c r="C848" s="25"/>
    </row>
    <row r="849" spans="1:3" x14ac:dyDescent="0.25">
      <c r="A849" s="36"/>
      <c r="B849" s="25"/>
      <c r="C849" s="25"/>
    </row>
    <row r="850" spans="1:3" x14ac:dyDescent="0.25">
      <c r="A850" s="36"/>
      <c r="B850" s="25"/>
      <c r="C850" s="25"/>
    </row>
    <row r="851" spans="1:3" x14ac:dyDescent="0.25">
      <c r="A851" s="36"/>
      <c r="B851" s="25"/>
      <c r="C851" s="25"/>
    </row>
    <row r="852" spans="1:3" x14ac:dyDescent="0.25">
      <c r="A852" s="36"/>
      <c r="B852" s="25"/>
      <c r="C852" s="25"/>
    </row>
    <row r="853" spans="1:3" x14ac:dyDescent="0.25">
      <c r="A853" s="36"/>
      <c r="B853" s="25"/>
      <c r="C853" s="25"/>
    </row>
    <row r="854" spans="1:3" x14ac:dyDescent="0.25">
      <c r="A854" s="36"/>
      <c r="B854" s="25"/>
      <c r="C854" s="25"/>
    </row>
    <row r="855" spans="1:3" x14ac:dyDescent="0.25">
      <c r="A855" s="36"/>
      <c r="B855" s="25"/>
      <c r="C855" s="25"/>
    </row>
    <row r="856" spans="1:3" x14ac:dyDescent="0.25">
      <c r="A856" s="36"/>
      <c r="B856" s="25"/>
      <c r="C856" s="25"/>
    </row>
    <row r="857" spans="1:3" x14ac:dyDescent="0.25">
      <c r="A857" s="36"/>
      <c r="B857" s="25"/>
      <c r="C857" s="25"/>
    </row>
    <row r="858" spans="1:3" x14ac:dyDescent="0.25">
      <c r="A858" s="36"/>
      <c r="B858" s="25"/>
      <c r="C858" s="25"/>
    </row>
    <row r="859" spans="1:3" x14ac:dyDescent="0.25">
      <c r="A859" s="36"/>
      <c r="B859" s="25"/>
      <c r="C859" s="25"/>
    </row>
    <row r="860" spans="1:3" x14ac:dyDescent="0.25">
      <c r="A860" s="36"/>
      <c r="B860" s="25"/>
      <c r="C860" s="25"/>
    </row>
    <row r="861" spans="1:3" x14ac:dyDescent="0.25">
      <c r="A861" s="36"/>
      <c r="B861" s="25"/>
      <c r="C861" s="25"/>
    </row>
    <row r="862" spans="1:3" x14ac:dyDescent="0.25">
      <c r="A862" s="36"/>
      <c r="B862" s="25"/>
      <c r="C862" s="25"/>
    </row>
    <row r="863" spans="1:3" x14ac:dyDescent="0.25">
      <c r="A863" s="36"/>
      <c r="B863" s="25"/>
      <c r="C863" s="25"/>
    </row>
    <row r="864" spans="1:3" x14ac:dyDescent="0.25">
      <c r="A864" s="36"/>
      <c r="B864" s="25"/>
      <c r="C864" s="25"/>
    </row>
    <row r="865" spans="1:3" x14ac:dyDescent="0.25">
      <c r="A865" s="36"/>
      <c r="B865" s="25"/>
      <c r="C865" s="25"/>
    </row>
    <row r="866" spans="1:3" x14ac:dyDescent="0.25">
      <c r="A866" s="36"/>
      <c r="B866" s="25"/>
      <c r="C866" s="25"/>
    </row>
    <row r="867" spans="1:3" x14ac:dyDescent="0.25">
      <c r="A867" s="36"/>
      <c r="B867" s="25"/>
      <c r="C867" s="25"/>
    </row>
    <row r="868" spans="1:3" x14ac:dyDescent="0.25">
      <c r="A868" s="36"/>
      <c r="B868" s="25"/>
      <c r="C868" s="25"/>
    </row>
    <row r="869" spans="1:3" x14ac:dyDescent="0.25">
      <c r="A869" s="36"/>
      <c r="B869" s="25"/>
      <c r="C869" s="25"/>
    </row>
    <row r="870" spans="1:3" x14ac:dyDescent="0.25">
      <c r="A870" s="36"/>
      <c r="B870" s="25"/>
      <c r="C870" s="25"/>
    </row>
    <row r="871" spans="1:3" x14ac:dyDescent="0.25">
      <c r="A871" s="36"/>
      <c r="B871" s="25"/>
      <c r="C871" s="25"/>
    </row>
    <row r="872" spans="1:3" x14ac:dyDescent="0.25">
      <c r="A872" s="36"/>
      <c r="B872" s="25"/>
      <c r="C872" s="25"/>
    </row>
    <row r="873" spans="1:3" x14ac:dyDescent="0.25">
      <c r="A873" s="36"/>
      <c r="B873" s="25"/>
      <c r="C873" s="25"/>
    </row>
    <row r="874" spans="1:3" x14ac:dyDescent="0.25">
      <c r="A874" s="36"/>
      <c r="B874" s="25"/>
      <c r="C874" s="25"/>
    </row>
    <row r="875" spans="1:3" x14ac:dyDescent="0.25">
      <c r="A875" s="36"/>
      <c r="B875" s="25"/>
      <c r="C875" s="25"/>
    </row>
    <row r="876" spans="1:3" x14ac:dyDescent="0.25">
      <c r="A876" s="36"/>
      <c r="B876" s="25"/>
      <c r="C876" s="25"/>
    </row>
    <row r="877" spans="1:3" x14ac:dyDescent="0.25">
      <c r="A877" s="36"/>
      <c r="B877" s="25"/>
      <c r="C877" s="25"/>
    </row>
    <row r="878" spans="1:3" x14ac:dyDescent="0.25">
      <c r="A878" s="36"/>
      <c r="B878" s="25"/>
      <c r="C878" s="25"/>
    </row>
    <row r="879" spans="1:3" x14ac:dyDescent="0.25">
      <c r="A879" s="36"/>
      <c r="B879" s="25"/>
      <c r="C879" s="25"/>
    </row>
    <row r="880" spans="1:3" x14ac:dyDescent="0.25">
      <c r="A880" s="36"/>
      <c r="B880" s="25"/>
      <c r="C880" s="25"/>
    </row>
    <row r="881" spans="1:3" x14ac:dyDescent="0.25">
      <c r="A881" s="36"/>
      <c r="B881" s="25"/>
      <c r="C881" s="25"/>
    </row>
    <row r="882" spans="1:3" x14ac:dyDescent="0.25">
      <c r="A882" s="36"/>
      <c r="B882" s="25"/>
      <c r="C882" s="25"/>
    </row>
    <row r="883" spans="1:3" x14ac:dyDescent="0.25">
      <c r="A883" s="36"/>
      <c r="B883" s="25"/>
      <c r="C883" s="25"/>
    </row>
    <row r="884" spans="1:3" x14ac:dyDescent="0.25">
      <c r="A884" s="36"/>
      <c r="B884" s="25"/>
      <c r="C884" s="25"/>
    </row>
    <row r="885" spans="1:3" x14ac:dyDescent="0.25">
      <c r="A885" s="36"/>
      <c r="B885" s="25"/>
      <c r="C885" s="25"/>
    </row>
    <row r="886" spans="1:3" x14ac:dyDescent="0.25">
      <c r="A886" s="36"/>
      <c r="B886" s="25"/>
      <c r="C886" s="25"/>
    </row>
    <row r="887" spans="1:3" x14ac:dyDescent="0.25">
      <c r="A887" s="36"/>
      <c r="B887" s="25"/>
      <c r="C887" s="25"/>
    </row>
    <row r="888" spans="1:3" x14ac:dyDescent="0.25">
      <c r="A888" s="36"/>
      <c r="B888" s="25"/>
      <c r="C888" s="25"/>
    </row>
    <row r="889" spans="1:3" x14ac:dyDescent="0.25">
      <c r="A889" s="36"/>
      <c r="B889" s="25"/>
      <c r="C889" s="25"/>
    </row>
    <row r="890" spans="1:3" x14ac:dyDescent="0.25">
      <c r="A890" s="36"/>
      <c r="B890" s="25"/>
      <c r="C890" s="25"/>
    </row>
    <row r="891" spans="1:3" x14ac:dyDescent="0.25">
      <c r="A891" s="36"/>
      <c r="B891" s="25"/>
      <c r="C891" s="25"/>
    </row>
    <row r="892" spans="1:3" x14ac:dyDescent="0.25">
      <c r="A892" s="36"/>
      <c r="B892" s="25"/>
      <c r="C892" s="25"/>
    </row>
    <row r="893" spans="1:3" x14ac:dyDescent="0.25">
      <c r="A893" s="36"/>
      <c r="B893" s="25"/>
      <c r="C893" s="25"/>
    </row>
    <row r="894" spans="1:3" x14ac:dyDescent="0.25">
      <c r="A894" s="36"/>
      <c r="B894" s="25"/>
      <c r="C894" s="25"/>
    </row>
    <row r="895" spans="1:3" x14ac:dyDescent="0.25">
      <c r="A895" s="36"/>
      <c r="B895" s="25"/>
      <c r="C895" s="25"/>
    </row>
    <row r="896" spans="1:3" x14ac:dyDescent="0.25">
      <c r="A896" s="36"/>
      <c r="B896" s="25"/>
      <c r="C896" s="25"/>
    </row>
    <row r="897" spans="1:3" x14ac:dyDescent="0.25">
      <c r="A897" s="36"/>
      <c r="B897" s="25"/>
      <c r="C897" s="25"/>
    </row>
    <row r="898" spans="1:3" x14ac:dyDescent="0.25">
      <c r="A898" s="36"/>
      <c r="B898" s="25"/>
      <c r="C898" s="25"/>
    </row>
    <row r="899" spans="1:3" x14ac:dyDescent="0.25">
      <c r="A899" s="36"/>
      <c r="B899" s="25"/>
      <c r="C899" s="25"/>
    </row>
    <row r="900" spans="1:3" x14ac:dyDescent="0.25">
      <c r="A900" s="36"/>
      <c r="B900" s="25"/>
      <c r="C900" s="25"/>
    </row>
    <row r="901" spans="1:3" x14ac:dyDescent="0.25">
      <c r="A901" s="36"/>
      <c r="B901" s="25"/>
      <c r="C901" s="25"/>
    </row>
    <row r="902" spans="1:3" x14ac:dyDescent="0.25">
      <c r="A902" s="36"/>
      <c r="B902" s="25"/>
      <c r="C902" s="25"/>
    </row>
    <row r="903" spans="1:3" x14ac:dyDescent="0.25">
      <c r="A903" s="36"/>
      <c r="B903" s="25"/>
      <c r="C903" s="25"/>
    </row>
    <row r="904" spans="1:3" x14ac:dyDescent="0.25">
      <c r="A904" s="36"/>
      <c r="B904" s="25"/>
      <c r="C904" s="25"/>
    </row>
    <row r="905" spans="1:3" x14ac:dyDescent="0.25">
      <c r="A905" s="36"/>
      <c r="B905" s="25"/>
      <c r="C905" s="25"/>
    </row>
    <row r="906" spans="1:3" x14ac:dyDescent="0.25">
      <c r="A906" s="36"/>
      <c r="B906" s="25"/>
      <c r="C906" s="25"/>
    </row>
    <row r="907" spans="1:3" x14ac:dyDescent="0.25">
      <c r="A907" s="36"/>
      <c r="B907" s="25"/>
      <c r="C907" s="25"/>
    </row>
    <row r="908" spans="1:3" x14ac:dyDescent="0.25">
      <c r="A908" s="36"/>
      <c r="B908" s="25"/>
      <c r="C908" s="25"/>
    </row>
    <row r="909" spans="1:3" x14ac:dyDescent="0.25">
      <c r="A909" s="36"/>
      <c r="B909" s="25"/>
      <c r="C909" s="25"/>
    </row>
    <row r="910" spans="1:3" x14ac:dyDescent="0.25">
      <c r="A910" s="36"/>
      <c r="B910" s="25"/>
      <c r="C910" s="25"/>
    </row>
    <row r="911" spans="1:3" x14ac:dyDescent="0.25">
      <c r="A911" s="36"/>
      <c r="B911" s="25"/>
      <c r="C911" s="25"/>
    </row>
    <row r="912" spans="1:3" x14ac:dyDescent="0.25">
      <c r="A912" s="36"/>
      <c r="B912" s="25"/>
      <c r="C912" s="25"/>
    </row>
    <row r="913" spans="1:3" x14ac:dyDescent="0.25">
      <c r="A913" s="36"/>
      <c r="B913" s="25"/>
      <c r="C913" s="25"/>
    </row>
    <row r="914" spans="1:3" x14ac:dyDescent="0.25">
      <c r="A914" s="36"/>
      <c r="B914" s="25"/>
      <c r="C914" s="25"/>
    </row>
    <row r="915" spans="1:3" x14ac:dyDescent="0.25">
      <c r="A915" s="36"/>
      <c r="B915" s="25"/>
      <c r="C915" s="25"/>
    </row>
    <row r="916" spans="1:3" x14ac:dyDescent="0.25">
      <c r="A916" s="36"/>
      <c r="B916" s="25"/>
      <c r="C916" s="25"/>
    </row>
    <row r="917" spans="1:3" x14ac:dyDescent="0.25">
      <c r="A917" s="36"/>
      <c r="B917" s="25"/>
      <c r="C917" s="25"/>
    </row>
    <row r="918" spans="1:3" x14ac:dyDescent="0.25">
      <c r="A918" s="36"/>
      <c r="B918" s="25"/>
      <c r="C918" s="25"/>
    </row>
    <row r="919" spans="1:3" x14ac:dyDescent="0.25">
      <c r="A919" s="36"/>
      <c r="B919" s="25"/>
      <c r="C919" s="25"/>
    </row>
    <row r="920" spans="1:3" x14ac:dyDescent="0.25">
      <c r="A920" s="36"/>
      <c r="B920" s="25"/>
      <c r="C920" s="25"/>
    </row>
    <row r="921" spans="1:3" x14ac:dyDescent="0.25">
      <c r="A921" s="36"/>
      <c r="B921" s="25"/>
      <c r="C921" s="25"/>
    </row>
    <row r="922" spans="1:3" x14ac:dyDescent="0.25">
      <c r="A922" s="36"/>
      <c r="B922" s="25"/>
      <c r="C922" s="25"/>
    </row>
    <row r="923" spans="1:3" x14ac:dyDescent="0.25">
      <c r="A923" s="36"/>
      <c r="B923" s="25"/>
      <c r="C923" s="25"/>
    </row>
    <row r="924" spans="1:3" x14ac:dyDescent="0.25">
      <c r="A924" s="36"/>
      <c r="B924" s="25"/>
      <c r="C924" s="25"/>
    </row>
    <row r="925" spans="1:3" x14ac:dyDescent="0.25">
      <c r="A925" s="36"/>
      <c r="B925" s="25"/>
      <c r="C925" s="25"/>
    </row>
    <row r="926" spans="1:3" x14ac:dyDescent="0.25">
      <c r="A926" s="36"/>
      <c r="B926" s="25"/>
      <c r="C926" s="25"/>
    </row>
    <row r="927" spans="1:3" x14ac:dyDescent="0.25">
      <c r="A927" s="36"/>
      <c r="B927" s="25"/>
      <c r="C927" s="25"/>
    </row>
    <row r="928" spans="1:3" x14ac:dyDescent="0.25">
      <c r="A928" s="36"/>
      <c r="B928" s="25"/>
      <c r="C928" s="25"/>
    </row>
    <row r="929" spans="1:3" x14ac:dyDescent="0.25">
      <c r="A929" s="36"/>
      <c r="B929" s="25"/>
      <c r="C929" s="25"/>
    </row>
    <row r="930" spans="1:3" x14ac:dyDescent="0.25">
      <c r="A930" s="36"/>
      <c r="B930" s="25"/>
      <c r="C930" s="25"/>
    </row>
    <row r="931" spans="1:3" x14ac:dyDescent="0.25">
      <c r="A931" s="36"/>
      <c r="B931" s="25"/>
      <c r="C931" s="25"/>
    </row>
    <row r="932" spans="1:3" x14ac:dyDescent="0.25">
      <c r="A932" s="36"/>
      <c r="B932" s="25"/>
      <c r="C932" s="25"/>
    </row>
    <row r="933" spans="1:3" x14ac:dyDescent="0.25">
      <c r="A933" s="36"/>
      <c r="B933" s="25"/>
      <c r="C933" s="25"/>
    </row>
    <row r="934" spans="1:3" x14ac:dyDescent="0.25">
      <c r="A934" s="36"/>
      <c r="B934" s="25"/>
      <c r="C934" s="25"/>
    </row>
    <row r="935" spans="1:3" x14ac:dyDescent="0.25">
      <c r="A935" s="36"/>
      <c r="B935" s="25"/>
      <c r="C935" s="25"/>
    </row>
    <row r="936" spans="1:3" x14ac:dyDescent="0.25">
      <c r="A936" s="36"/>
      <c r="B936" s="25"/>
      <c r="C936" s="25"/>
    </row>
    <row r="937" spans="1:3" x14ac:dyDescent="0.25">
      <c r="A937" s="36"/>
      <c r="B937" s="25"/>
      <c r="C937" s="25"/>
    </row>
    <row r="938" spans="1:3" x14ac:dyDescent="0.25">
      <c r="A938" s="36"/>
      <c r="B938" s="25"/>
      <c r="C938" s="25"/>
    </row>
    <row r="939" spans="1:3" x14ac:dyDescent="0.25">
      <c r="A939" s="36"/>
      <c r="B939" s="25"/>
      <c r="C939" s="25"/>
    </row>
    <row r="940" spans="1:3" x14ac:dyDescent="0.25">
      <c r="A940" s="36"/>
      <c r="B940" s="25"/>
      <c r="C940" s="25"/>
    </row>
    <row r="941" spans="1:3" x14ac:dyDescent="0.25">
      <c r="A941" s="36"/>
      <c r="B941" s="25"/>
      <c r="C941" s="25"/>
    </row>
    <row r="942" spans="1:3" x14ac:dyDescent="0.25">
      <c r="A942" s="36"/>
      <c r="B942" s="25"/>
      <c r="C942" s="25"/>
    </row>
    <row r="943" spans="1:3" x14ac:dyDescent="0.25">
      <c r="A943" s="36"/>
      <c r="B943" s="25"/>
      <c r="C943" s="25"/>
    </row>
    <row r="944" spans="1:3" x14ac:dyDescent="0.25">
      <c r="A944" s="36"/>
      <c r="B944" s="25"/>
      <c r="C944" s="25"/>
    </row>
    <row r="945" spans="1:3" x14ac:dyDescent="0.25">
      <c r="A945" s="36"/>
      <c r="B945" s="25"/>
      <c r="C945" s="25"/>
    </row>
    <row r="946" spans="1:3" x14ac:dyDescent="0.25">
      <c r="A946" s="36"/>
      <c r="B946" s="25"/>
      <c r="C946" s="25"/>
    </row>
    <row r="947" spans="1:3" x14ac:dyDescent="0.25">
      <c r="A947" s="36"/>
      <c r="B947" s="25"/>
      <c r="C947" s="25"/>
    </row>
    <row r="948" spans="1:3" x14ac:dyDescent="0.25">
      <c r="A948" s="36"/>
      <c r="B948" s="25"/>
      <c r="C948" s="25"/>
    </row>
    <row r="949" spans="1:3" x14ac:dyDescent="0.25">
      <c r="A949" s="36"/>
      <c r="B949" s="25"/>
      <c r="C949" s="25"/>
    </row>
    <row r="950" spans="1:3" x14ac:dyDescent="0.25">
      <c r="A950" s="36"/>
      <c r="B950" s="25"/>
      <c r="C950" s="25"/>
    </row>
    <row r="951" spans="1:3" x14ac:dyDescent="0.25">
      <c r="A951" s="36"/>
      <c r="B951" s="25"/>
      <c r="C951" s="25"/>
    </row>
    <row r="952" spans="1:3" x14ac:dyDescent="0.25">
      <c r="A952" s="36"/>
      <c r="B952" s="25"/>
      <c r="C952" s="25"/>
    </row>
    <row r="953" spans="1:3" x14ac:dyDescent="0.25">
      <c r="A953" s="36"/>
      <c r="B953" s="25"/>
      <c r="C953" s="25"/>
    </row>
    <row r="954" spans="1:3" x14ac:dyDescent="0.25">
      <c r="A954" s="36"/>
      <c r="B954" s="25"/>
      <c r="C954" s="25"/>
    </row>
    <row r="955" spans="1:3" x14ac:dyDescent="0.25">
      <c r="A955" s="36"/>
      <c r="B955" s="25"/>
      <c r="C955" s="25"/>
    </row>
    <row r="956" spans="1:3" x14ac:dyDescent="0.25">
      <c r="A956" s="36"/>
      <c r="B956" s="25"/>
      <c r="C956" s="25"/>
    </row>
    <row r="957" spans="1:3" x14ac:dyDescent="0.25">
      <c r="A957" s="36"/>
      <c r="B957" s="25"/>
      <c r="C957" s="25"/>
    </row>
    <row r="958" spans="1:3" x14ac:dyDescent="0.25">
      <c r="A958" s="36"/>
      <c r="B958" s="25"/>
      <c r="C958" s="25"/>
    </row>
    <row r="959" spans="1:3" x14ac:dyDescent="0.25">
      <c r="A959" s="36"/>
      <c r="B959" s="25"/>
      <c r="C959" s="25"/>
    </row>
    <row r="960" spans="1:3" x14ac:dyDescent="0.25">
      <c r="A960" s="36"/>
      <c r="B960" s="25"/>
      <c r="C960" s="25"/>
    </row>
    <row r="961" spans="1:3" x14ac:dyDescent="0.25">
      <c r="A961" s="36"/>
      <c r="B961" s="25"/>
      <c r="C961" s="25"/>
    </row>
    <row r="962" spans="1:3" x14ac:dyDescent="0.25">
      <c r="A962" s="36"/>
      <c r="B962" s="25"/>
      <c r="C962" s="25"/>
    </row>
    <row r="963" spans="1:3" x14ac:dyDescent="0.25">
      <c r="A963" s="36"/>
      <c r="B963" s="25"/>
      <c r="C963" s="25"/>
    </row>
    <row r="964" spans="1:3" x14ac:dyDescent="0.25">
      <c r="A964" s="36"/>
      <c r="B964" s="25"/>
      <c r="C964" s="25"/>
    </row>
    <row r="965" spans="1:3" x14ac:dyDescent="0.25">
      <c r="A965" s="36"/>
      <c r="B965" s="25"/>
      <c r="C965" s="25"/>
    </row>
    <row r="966" spans="1:3" x14ac:dyDescent="0.25">
      <c r="A966" s="36"/>
      <c r="B966" s="25"/>
      <c r="C966" s="25"/>
    </row>
    <row r="967" spans="1:3" x14ac:dyDescent="0.25">
      <c r="A967" s="36"/>
      <c r="B967" s="25"/>
      <c r="C967" s="25"/>
    </row>
    <row r="968" spans="1:3" x14ac:dyDescent="0.25">
      <c r="A968" s="36"/>
      <c r="B968" s="25"/>
      <c r="C968" s="25"/>
    </row>
    <row r="969" spans="1:3" x14ac:dyDescent="0.25">
      <c r="A969" s="36"/>
      <c r="B969" s="25"/>
      <c r="C969" s="25"/>
    </row>
    <row r="970" spans="1:3" x14ac:dyDescent="0.25">
      <c r="A970" s="36"/>
      <c r="B970" s="25"/>
      <c r="C970" s="25"/>
    </row>
    <row r="971" spans="1:3" x14ac:dyDescent="0.25">
      <c r="A971" s="36"/>
      <c r="B971" s="25"/>
      <c r="C971" s="25"/>
    </row>
    <row r="972" spans="1:3" x14ac:dyDescent="0.25">
      <c r="A972" s="36"/>
      <c r="B972" s="25"/>
      <c r="C972" s="25"/>
    </row>
    <row r="973" spans="1:3" x14ac:dyDescent="0.25">
      <c r="A973" s="36"/>
      <c r="B973" s="25"/>
      <c r="C973" s="25"/>
    </row>
    <row r="974" spans="1:3" x14ac:dyDescent="0.25">
      <c r="A974" s="36"/>
      <c r="B974" s="25"/>
      <c r="C974" s="25"/>
    </row>
    <row r="975" spans="1:3" x14ac:dyDescent="0.25">
      <c r="A975" s="36"/>
      <c r="B975" s="25"/>
      <c r="C975" s="25"/>
    </row>
    <row r="976" spans="1:3" x14ac:dyDescent="0.25">
      <c r="A976" s="36"/>
      <c r="B976" s="25"/>
      <c r="C976" s="25"/>
    </row>
    <row r="977" spans="1:3" x14ac:dyDescent="0.25">
      <c r="A977" s="36"/>
      <c r="B977" s="25"/>
      <c r="C977" s="25"/>
    </row>
    <row r="978" spans="1:3" x14ac:dyDescent="0.25">
      <c r="A978" s="36"/>
      <c r="B978" s="25"/>
      <c r="C978" s="25"/>
    </row>
    <row r="979" spans="1:3" x14ac:dyDescent="0.25">
      <c r="A979" s="36"/>
      <c r="B979" s="25"/>
      <c r="C979" s="25"/>
    </row>
    <row r="980" spans="1:3" x14ac:dyDescent="0.25">
      <c r="A980" s="36"/>
      <c r="B980" s="25"/>
      <c r="C980" s="25"/>
    </row>
    <row r="981" spans="1:3" x14ac:dyDescent="0.25">
      <c r="A981" s="36"/>
      <c r="B981" s="25"/>
      <c r="C981" s="25"/>
    </row>
    <row r="982" spans="1:3" x14ac:dyDescent="0.25">
      <c r="A982" s="36"/>
      <c r="B982" s="25"/>
      <c r="C982" s="25"/>
    </row>
    <row r="983" spans="1:3" x14ac:dyDescent="0.25">
      <c r="A983" s="36"/>
      <c r="B983" s="25"/>
      <c r="C983" s="25"/>
    </row>
    <row r="984" spans="1:3" x14ac:dyDescent="0.25">
      <c r="A984" s="36"/>
      <c r="B984" s="25"/>
      <c r="C984" s="25"/>
    </row>
    <row r="985" spans="1:3" x14ac:dyDescent="0.25">
      <c r="A985" s="36"/>
      <c r="B985" s="25"/>
      <c r="C985" s="25"/>
    </row>
    <row r="986" spans="1:3" x14ac:dyDescent="0.25">
      <c r="A986" s="36"/>
      <c r="B986" s="25"/>
      <c r="C986" s="25"/>
    </row>
    <row r="987" spans="1:3" x14ac:dyDescent="0.25">
      <c r="A987" s="36"/>
      <c r="B987" s="25"/>
      <c r="C987" s="25"/>
    </row>
    <row r="988" spans="1:3" x14ac:dyDescent="0.25">
      <c r="A988" s="36"/>
      <c r="B988" s="25"/>
      <c r="C988" s="25"/>
    </row>
    <row r="989" spans="1:3" x14ac:dyDescent="0.25">
      <c r="A989" s="36"/>
      <c r="B989" s="25"/>
      <c r="C989" s="25"/>
    </row>
    <row r="990" spans="1:3" x14ac:dyDescent="0.25">
      <c r="A990" s="36"/>
      <c r="B990" s="25"/>
      <c r="C990" s="25"/>
    </row>
    <row r="991" spans="1:3" x14ac:dyDescent="0.25">
      <c r="A991" s="36"/>
      <c r="B991" s="25"/>
      <c r="C991" s="25"/>
    </row>
    <row r="992" spans="1:3" x14ac:dyDescent="0.25">
      <c r="A992" s="36"/>
      <c r="B992" s="25"/>
      <c r="C992" s="25"/>
    </row>
    <row r="993" spans="1:3" x14ac:dyDescent="0.25">
      <c r="A993" s="36"/>
      <c r="B993" s="25"/>
      <c r="C993" s="25"/>
    </row>
    <row r="994" spans="1:3" x14ac:dyDescent="0.25">
      <c r="A994" s="36"/>
      <c r="B994" s="25"/>
      <c r="C994" s="25"/>
    </row>
    <row r="995" spans="1:3" x14ac:dyDescent="0.25">
      <c r="A995" s="36"/>
      <c r="B995" s="25"/>
      <c r="C995" s="25"/>
    </row>
    <row r="996" spans="1:3" x14ac:dyDescent="0.25">
      <c r="A996" s="36"/>
      <c r="B996" s="25"/>
      <c r="C996" s="25"/>
    </row>
    <row r="997" spans="1:3" x14ac:dyDescent="0.25">
      <c r="A997" s="36"/>
      <c r="B997" s="25"/>
      <c r="C997" s="25"/>
    </row>
    <row r="998" spans="1:3" x14ac:dyDescent="0.25">
      <c r="A998" s="36"/>
      <c r="B998" s="25"/>
      <c r="C998" s="25"/>
    </row>
    <row r="999" spans="1:3" x14ac:dyDescent="0.25">
      <c r="A999" s="36"/>
      <c r="B999" s="25"/>
      <c r="C999" s="25"/>
    </row>
    <row r="1000" spans="1:3" x14ac:dyDescent="0.25">
      <c r="A1000" s="36"/>
      <c r="B1000" s="25"/>
      <c r="C1000" s="25"/>
    </row>
    <row r="1001" spans="1:3" x14ac:dyDescent="0.25">
      <c r="A1001" s="36"/>
      <c r="B1001" s="25"/>
      <c r="C1001" s="25"/>
    </row>
    <row r="1002" spans="1:3" x14ac:dyDescent="0.25">
      <c r="A1002" s="36"/>
      <c r="B1002" s="25"/>
      <c r="C1002" s="25"/>
    </row>
    <row r="1003" spans="1:3" x14ac:dyDescent="0.25">
      <c r="A1003" s="36"/>
      <c r="B1003" s="25"/>
      <c r="C1003" s="25"/>
    </row>
    <row r="1004" spans="1:3" x14ac:dyDescent="0.25">
      <c r="A1004" s="36"/>
      <c r="B1004" s="25"/>
      <c r="C1004" s="25"/>
    </row>
    <row r="1005" spans="1:3" x14ac:dyDescent="0.25">
      <c r="A1005" s="36"/>
      <c r="B1005" s="25"/>
      <c r="C1005" s="25"/>
    </row>
    <row r="1006" spans="1:3" x14ac:dyDescent="0.25">
      <c r="A1006" s="36"/>
      <c r="B1006" s="25"/>
      <c r="C1006" s="25"/>
    </row>
  </sheetData>
  <mergeCells count="1">
    <mergeCell ref="A1:C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780C-ABC1-4D86-808F-3DA8B730867D}">
  <sheetPr codeName="Sheet3">
    <tabColor rgb="FFFFFF00"/>
  </sheetPr>
  <dimension ref="A1:AL325"/>
  <sheetViews>
    <sheetView zoomScale="85" zoomScaleNormal="85" workbookViewId="0"/>
  </sheetViews>
  <sheetFormatPr defaultRowHeight="15" x14ac:dyDescent="0.25"/>
  <cols>
    <col min="1" max="1" width="16" customWidth="1"/>
    <col min="2" max="2" width="14.42578125" customWidth="1"/>
    <col min="3" max="3" width="11.7109375" customWidth="1"/>
    <col min="39" max="39" width="12" bestFit="1" customWidth="1"/>
  </cols>
  <sheetData>
    <row r="1" spans="1:38" ht="15.75" x14ac:dyDescent="0.25">
      <c r="A1" s="70" t="s">
        <v>151</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row>
    <row r="2" spans="1:38" x14ac:dyDescent="0.25">
      <c r="A2" s="71"/>
      <c r="B2" s="71"/>
      <c r="C2" s="71"/>
      <c r="D2" s="71"/>
      <c r="E2" s="71"/>
      <c r="F2" s="71"/>
      <c r="G2" s="72" t="s">
        <v>152</v>
      </c>
      <c r="H2" s="73"/>
      <c r="I2" s="73"/>
      <c r="J2" s="73"/>
      <c r="K2" s="73"/>
      <c r="L2" s="73"/>
      <c r="M2" s="73"/>
      <c r="N2" s="73"/>
      <c r="O2" s="74"/>
      <c r="P2" s="75" t="s">
        <v>153</v>
      </c>
      <c r="Q2" s="75"/>
      <c r="R2" s="75"/>
      <c r="S2" s="75"/>
      <c r="T2" s="75"/>
      <c r="U2" s="75"/>
      <c r="V2" s="75"/>
      <c r="W2" s="75"/>
      <c r="X2" s="75"/>
      <c r="Y2" s="76"/>
      <c r="Z2" s="77"/>
      <c r="AA2" s="78" t="s">
        <v>154</v>
      </c>
      <c r="AB2" s="79"/>
      <c r="AC2" s="71"/>
      <c r="AG2" s="78" t="s">
        <v>155</v>
      </c>
      <c r="AH2" s="80"/>
      <c r="AI2" s="80"/>
      <c r="AJ2" s="80"/>
      <c r="AK2" s="80"/>
      <c r="AL2" s="79"/>
    </row>
    <row r="3" spans="1:38" x14ac:dyDescent="0.25">
      <c r="A3" s="81" t="s">
        <v>100</v>
      </c>
      <c r="B3" s="82"/>
      <c r="C3" s="83" t="s">
        <v>156</v>
      </c>
      <c r="D3" s="71"/>
      <c r="E3" s="71"/>
      <c r="F3" s="71"/>
      <c r="G3" s="84" t="s">
        <v>21</v>
      </c>
      <c r="H3" s="75" t="s">
        <v>5</v>
      </c>
      <c r="I3" s="75"/>
      <c r="J3" s="85"/>
      <c r="K3" s="86" t="s">
        <v>7</v>
      </c>
      <c r="L3" s="86"/>
      <c r="M3" s="86"/>
      <c r="N3" s="85" t="s">
        <v>18</v>
      </c>
      <c r="O3" s="84" t="s">
        <v>48</v>
      </c>
      <c r="P3" s="87" t="s">
        <v>157</v>
      </c>
      <c r="Q3" s="87"/>
      <c r="R3" s="87"/>
      <c r="S3" s="87"/>
      <c r="T3" s="87"/>
      <c r="U3" s="87" t="s">
        <v>158</v>
      </c>
      <c r="V3" s="87"/>
      <c r="W3" s="87"/>
      <c r="X3" s="87"/>
      <c r="Y3" s="88"/>
      <c r="Z3" s="77"/>
      <c r="AA3" s="89" t="s">
        <v>157</v>
      </c>
      <c r="AB3" s="90" t="s">
        <v>158</v>
      </c>
      <c r="AC3" s="71"/>
      <c r="AD3" s="78" t="s">
        <v>9</v>
      </c>
      <c r="AE3" s="80"/>
      <c r="AF3" s="79"/>
      <c r="AG3" s="91"/>
      <c r="AH3" s="92"/>
      <c r="AI3" s="92"/>
      <c r="AJ3" s="92"/>
      <c r="AK3" s="92"/>
      <c r="AL3" s="93"/>
    </row>
    <row r="4" spans="1:38" ht="30" x14ac:dyDescent="0.25">
      <c r="A4" s="81" t="s">
        <v>159</v>
      </c>
      <c r="B4" s="82"/>
      <c r="C4" s="94">
        <v>1200</v>
      </c>
      <c r="D4" s="71"/>
      <c r="E4" s="71"/>
      <c r="F4" s="71"/>
      <c r="G4" s="95"/>
      <c r="H4" s="96" t="s">
        <v>22</v>
      </c>
      <c r="I4" s="96" t="s">
        <v>160</v>
      </c>
      <c r="J4" s="96" t="s">
        <v>25</v>
      </c>
      <c r="K4" s="96" t="s">
        <v>161</v>
      </c>
      <c r="L4" s="96" t="s">
        <v>160</v>
      </c>
      <c r="M4" s="96" t="s">
        <v>162</v>
      </c>
      <c r="N4" s="96"/>
      <c r="O4" s="95" t="s">
        <v>163</v>
      </c>
      <c r="P4" s="97" t="s">
        <v>164</v>
      </c>
      <c r="Q4" s="97" t="s">
        <v>165</v>
      </c>
      <c r="R4" s="97" t="s">
        <v>166</v>
      </c>
      <c r="S4" s="97" t="s">
        <v>167</v>
      </c>
      <c r="T4" s="98" t="s">
        <v>168</v>
      </c>
      <c r="U4" s="99" t="s">
        <v>164</v>
      </c>
      <c r="V4" s="97" t="s">
        <v>165</v>
      </c>
      <c r="W4" s="97" t="s">
        <v>166</v>
      </c>
      <c r="X4" s="97" t="s">
        <v>167</v>
      </c>
      <c r="Y4" s="98" t="s">
        <v>168</v>
      </c>
      <c r="Z4" s="100" t="s">
        <v>169</v>
      </c>
      <c r="AA4" s="100"/>
      <c r="AB4" s="101"/>
      <c r="AC4" s="71"/>
      <c r="AD4" s="102" t="s">
        <v>22</v>
      </c>
      <c r="AE4" s="103" t="s">
        <v>160</v>
      </c>
      <c r="AF4" s="104" t="s">
        <v>85</v>
      </c>
      <c r="AG4" s="105" t="s">
        <v>170</v>
      </c>
      <c r="AH4" s="105" t="s">
        <v>171</v>
      </c>
      <c r="AI4" s="105" t="s">
        <v>172</v>
      </c>
      <c r="AJ4" s="105" t="s">
        <v>173</v>
      </c>
      <c r="AK4" s="105" t="s">
        <v>174</v>
      </c>
      <c r="AL4" s="105" t="s">
        <v>167</v>
      </c>
    </row>
    <row r="5" spans="1:38" x14ac:dyDescent="0.25">
      <c r="A5" s="81" t="s">
        <v>175</v>
      </c>
      <c r="B5" s="82"/>
      <c r="C5" s="106">
        <v>50</v>
      </c>
      <c r="D5" s="71"/>
      <c r="E5" s="71"/>
      <c r="F5" s="71"/>
      <c r="G5" s="89" t="s">
        <v>176</v>
      </c>
      <c r="H5" s="87" t="s">
        <v>177</v>
      </c>
      <c r="I5" s="87"/>
      <c r="J5" s="107" t="s">
        <v>40</v>
      </c>
      <c r="K5" s="87" t="s">
        <v>41</v>
      </c>
      <c r="L5" s="87"/>
      <c r="M5" s="87"/>
      <c r="N5" s="107" t="s">
        <v>178</v>
      </c>
      <c r="O5" s="89" t="s">
        <v>41</v>
      </c>
      <c r="P5" s="87" t="s">
        <v>179</v>
      </c>
      <c r="Q5" s="87"/>
      <c r="R5" s="87"/>
      <c r="S5" s="87"/>
      <c r="T5" s="88"/>
      <c r="U5" s="87" t="s">
        <v>179</v>
      </c>
      <c r="V5" s="87"/>
      <c r="W5" s="87"/>
      <c r="X5" s="87"/>
      <c r="Y5" s="88"/>
      <c r="Z5" s="100" t="s">
        <v>179</v>
      </c>
      <c r="AA5" s="108" t="s">
        <v>179</v>
      </c>
      <c r="AB5" s="109"/>
      <c r="AC5" s="71"/>
      <c r="AD5" s="108" t="s">
        <v>43</v>
      </c>
      <c r="AE5" s="110"/>
      <c r="AF5" s="109"/>
      <c r="AG5" s="108" t="s">
        <v>179</v>
      </c>
      <c r="AH5" s="111"/>
      <c r="AI5" s="111"/>
      <c r="AJ5" s="111"/>
      <c r="AK5" s="111"/>
      <c r="AL5" s="112"/>
    </row>
    <row r="6" spans="1:38" x14ac:dyDescent="0.25">
      <c r="A6" s="81" t="s">
        <v>180</v>
      </c>
      <c r="B6" s="82"/>
      <c r="C6" s="106">
        <v>50</v>
      </c>
      <c r="D6" s="71"/>
      <c r="E6" s="71"/>
      <c r="F6" s="71"/>
      <c r="G6" s="113">
        <v>0</v>
      </c>
      <c r="H6" s="114">
        <v>1200</v>
      </c>
      <c r="I6" s="114"/>
      <c r="J6" s="115">
        <v>0.25</v>
      </c>
      <c r="K6" s="115">
        <v>7.6799999999999993E-3</v>
      </c>
      <c r="L6" s="115"/>
      <c r="M6" s="115">
        <v>0</v>
      </c>
      <c r="N6" s="114">
        <v>287.92759825672118</v>
      </c>
      <c r="O6" s="114">
        <v>0</v>
      </c>
      <c r="P6" s="116">
        <v>5.0602679166666664E-3</v>
      </c>
      <c r="Q6" s="116">
        <v>4.3896299999999994E-3</v>
      </c>
      <c r="R6" s="116">
        <v>6.706379166666667E-4</v>
      </c>
      <c r="S6" s="116">
        <v>0</v>
      </c>
      <c r="T6" s="117">
        <v>0</v>
      </c>
      <c r="U6" s="116">
        <v>302.5148533613625</v>
      </c>
      <c r="V6" s="116">
        <v>4.3896299999999994E-3</v>
      </c>
      <c r="W6" s="116">
        <v>6.706379166666667E-4</v>
      </c>
      <c r="X6" s="116">
        <v>262.47512628070507</v>
      </c>
      <c r="Y6" s="117">
        <v>40.034666812740788</v>
      </c>
      <c r="Z6" s="118"/>
      <c r="AA6" s="118">
        <v>0</v>
      </c>
      <c r="AB6" s="117">
        <v>12.445</v>
      </c>
      <c r="AC6" s="71"/>
      <c r="AD6" s="119">
        <v>0</v>
      </c>
      <c r="AE6" s="120"/>
      <c r="AF6" s="115"/>
      <c r="AG6" s="121"/>
      <c r="AH6" s="121"/>
      <c r="AI6" s="121"/>
      <c r="AJ6" s="121"/>
      <c r="AK6" s="121"/>
      <c r="AL6" s="121"/>
    </row>
    <row r="7" spans="1:38" x14ac:dyDescent="0.25">
      <c r="A7" s="71"/>
      <c r="B7" s="71"/>
      <c r="C7" s="71"/>
      <c r="D7" s="71"/>
      <c r="E7" s="71"/>
      <c r="F7" s="71"/>
      <c r="G7" s="113">
        <v>1</v>
      </c>
      <c r="H7" s="114">
        <v>1200</v>
      </c>
      <c r="I7" s="114"/>
      <c r="J7" s="115">
        <v>0.54507821155405445</v>
      </c>
      <c r="K7" s="115">
        <v>0.19281625135610592</v>
      </c>
      <c r="L7" s="115"/>
      <c r="M7" s="115">
        <v>0</v>
      </c>
      <c r="N7" s="114">
        <v>286.7931748280518</v>
      </c>
      <c r="O7" s="114">
        <v>0</v>
      </c>
      <c r="P7" s="122">
        <v>0.13841882481991086</v>
      </c>
      <c r="Q7" s="122">
        <v>9.7609804220485444E-2</v>
      </c>
      <c r="R7" s="122">
        <v>4.0013348599425416E-2</v>
      </c>
      <c r="S7" s="122">
        <v>0</v>
      </c>
      <c r="T7" s="123">
        <v>7.9567199999999976E-4</v>
      </c>
      <c r="U7" s="122">
        <v>216.20396701708952</v>
      </c>
      <c r="V7" s="122">
        <v>9.7609804220485444E-2</v>
      </c>
      <c r="W7" s="122">
        <v>4.0013348599425416E-2</v>
      </c>
      <c r="X7" s="122">
        <v>186.68726991721709</v>
      </c>
      <c r="Y7" s="123">
        <v>29.379073947052522</v>
      </c>
      <c r="Z7" s="124"/>
      <c r="AA7" s="124">
        <v>9.2100000000000001E-2</v>
      </c>
      <c r="AB7" s="123">
        <v>10.48703778101328</v>
      </c>
      <c r="AC7" s="71"/>
      <c r="AD7" s="119">
        <v>0</v>
      </c>
      <c r="AE7" s="120"/>
      <c r="AF7" s="115"/>
      <c r="AG7" s="119"/>
      <c r="AH7" s="119"/>
      <c r="AI7" s="119"/>
      <c r="AJ7" s="119"/>
      <c r="AK7" s="119"/>
      <c r="AL7" s="119"/>
    </row>
    <row r="8" spans="1:38" x14ac:dyDescent="0.25">
      <c r="A8" s="125" t="s">
        <v>181</v>
      </c>
      <c r="B8" s="71"/>
      <c r="C8" s="71"/>
      <c r="D8" s="71"/>
      <c r="E8" s="71"/>
      <c r="F8" s="71"/>
      <c r="G8" s="113">
        <v>2</v>
      </c>
      <c r="H8" s="114">
        <v>1200</v>
      </c>
      <c r="I8" s="114"/>
      <c r="J8" s="115">
        <v>1.1452932791261423</v>
      </c>
      <c r="K8" s="115">
        <v>1.2106989105312591</v>
      </c>
      <c r="L8" s="115"/>
      <c r="M8" s="115">
        <v>0</v>
      </c>
      <c r="N8" s="114">
        <v>285.69179982979881</v>
      </c>
      <c r="O8" s="114">
        <v>0</v>
      </c>
      <c r="P8" s="122">
        <v>0.81644843176799897</v>
      </c>
      <c r="Q8" s="122">
        <v>0.59055637680455342</v>
      </c>
      <c r="R8" s="122">
        <v>0.21291728248741992</v>
      </c>
      <c r="S8" s="122">
        <v>0</v>
      </c>
      <c r="T8" s="123">
        <v>1.2974772476025591E-2</v>
      </c>
      <c r="U8" s="122">
        <v>156.52808390346479</v>
      </c>
      <c r="V8" s="122">
        <v>0.59055637680455342</v>
      </c>
      <c r="W8" s="122">
        <v>0.21291728248741992</v>
      </c>
      <c r="X8" s="122">
        <v>133.98418992241221</v>
      </c>
      <c r="Y8" s="123">
        <v>21.740420321760599</v>
      </c>
      <c r="Z8" s="124"/>
      <c r="AA8" s="124">
        <v>0.19060000000000002</v>
      </c>
      <c r="AB8" s="123">
        <v>8.8731818779539804</v>
      </c>
      <c r="AC8" s="71"/>
      <c r="AD8" s="119">
        <v>0</v>
      </c>
      <c r="AE8" s="120"/>
      <c r="AF8" s="115"/>
      <c r="AG8" s="119"/>
      <c r="AH8" s="119"/>
      <c r="AI8" s="119"/>
      <c r="AJ8" s="119"/>
      <c r="AK8" s="119"/>
      <c r="AL8" s="119"/>
    </row>
    <row r="9" spans="1:38" x14ac:dyDescent="0.25">
      <c r="A9" s="126" t="s">
        <v>182</v>
      </c>
      <c r="B9" s="126" t="s">
        <v>21</v>
      </c>
      <c r="C9" s="126" t="s">
        <v>183</v>
      </c>
      <c r="D9" s="71"/>
      <c r="E9" s="71"/>
      <c r="F9" s="71"/>
      <c r="G9" s="113">
        <v>3</v>
      </c>
      <c r="H9" s="114">
        <v>1199.6694896554257</v>
      </c>
      <c r="I9" s="114"/>
      <c r="J9" s="115">
        <v>1.9323488458973266</v>
      </c>
      <c r="K9" s="115">
        <v>3.6018529047674139</v>
      </c>
      <c r="L9" s="115"/>
      <c r="M9" s="115">
        <v>3.5862344189616172E-4</v>
      </c>
      <c r="N9" s="114">
        <v>284.62347326196215</v>
      </c>
      <c r="O9" s="114">
        <v>0</v>
      </c>
      <c r="P9" s="122">
        <v>2.2113245047140642</v>
      </c>
      <c r="Q9" s="122">
        <v>1.6435497151962009</v>
      </c>
      <c r="R9" s="122">
        <v>0.48200367336512512</v>
      </c>
      <c r="S9" s="122">
        <v>6.5942361337411123E-5</v>
      </c>
      <c r="T9" s="123">
        <v>8.5705173791400857E-2</v>
      </c>
      <c r="U9" s="122">
        <v>115.42341978042326</v>
      </c>
      <c r="V9" s="122">
        <v>1.6435497151962009</v>
      </c>
      <c r="W9" s="122">
        <v>0.48200367336512512</v>
      </c>
      <c r="X9" s="122">
        <v>97.036096719061604</v>
      </c>
      <c r="Y9" s="123">
        <v>16.261769672800334</v>
      </c>
      <c r="Z9" s="124"/>
      <c r="AA9" s="124">
        <v>0.29550000000000004</v>
      </c>
      <c r="AB9" s="123">
        <v>7.5478020007943014</v>
      </c>
      <c r="AC9" s="71"/>
      <c r="AD9" s="119">
        <v>1.5165243928373136</v>
      </c>
      <c r="AE9" s="120"/>
      <c r="AF9" s="115"/>
      <c r="AG9" s="119"/>
      <c r="AH9" s="119"/>
      <c r="AI9" s="119"/>
      <c r="AJ9" s="119"/>
      <c r="AK9" s="119"/>
      <c r="AL9" s="119"/>
    </row>
    <row r="10" spans="1:38" x14ac:dyDescent="0.25">
      <c r="A10" s="127" t="s">
        <v>184</v>
      </c>
      <c r="B10" s="128" t="s">
        <v>185</v>
      </c>
      <c r="C10" s="127" t="s">
        <v>186</v>
      </c>
      <c r="D10" s="71"/>
      <c r="E10" s="71"/>
      <c r="F10" s="71"/>
      <c r="G10" s="113">
        <v>4</v>
      </c>
      <c r="H10" s="114">
        <v>1199.1188303136519</v>
      </c>
      <c r="I10" s="114"/>
      <c r="J10" s="115">
        <v>2.8488699252754124</v>
      </c>
      <c r="K10" s="115">
        <v>7.8191740416501174</v>
      </c>
      <c r="L10" s="115"/>
      <c r="M10" s="115">
        <v>1.4185591554657299E-3</v>
      </c>
      <c r="N10" s="114">
        <v>291.9239923094384</v>
      </c>
      <c r="O10" s="114">
        <v>0</v>
      </c>
      <c r="P10" s="122">
        <v>4.4839919913740829</v>
      </c>
      <c r="Q10" s="122">
        <v>3.3225248732214094</v>
      </c>
      <c r="R10" s="122">
        <v>0.878194111354063</v>
      </c>
      <c r="S10" s="122">
        <v>3.1268737322029909E-4</v>
      </c>
      <c r="T10" s="123">
        <v>0.28296031942538979</v>
      </c>
      <c r="U10" s="122">
        <v>87.504742759772114</v>
      </c>
      <c r="V10" s="122">
        <v>3.3225248732214094</v>
      </c>
      <c r="W10" s="122">
        <v>0.878194111354063</v>
      </c>
      <c r="X10" s="122">
        <v>70.910817144007837</v>
      </c>
      <c r="Y10" s="123">
        <v>12.393206631188807</v>
      </c>
      <c r="Z10" s="124"/>
      <c r="AA10" s="124">
        <v>0.40680000000000005</v>
      </c>
      <c r="AB10" s="123">
        <v>6.4644318254218476</v>
      </c>
      <c r="AC10" s="71"/>
      <c r="AD10" s="119">
        <v>5.5989414184520401</v>
      </c>
      <c r="AE10" s="120"/>
      <c r="AF10" s="115"/>
      <c r="AG10" s="119"/>
      <c r="AH10" s="119"/>
      <c r="AI10" s="119"/>
      <c r="AJ10" s="119"/>
      <c r="AK10" s="119"/>
      <c r="AL10" s="119"/>
    </row>
    <row r="11" spans="1:38" x14ac:dyDescent="0.25">
      <c r="A11" s="129"/>
      <c r="B11" s="130"/>
      <c r="C11" s="131"/>
      <c r="D11" s="71"/>
      <c r="E11" s="71"/>
      <c r="F11" s="71"/>
      <c r="G11" s="113">
        <v>5</v>
      </c>
      <c r="H11" s="114">
        <v>1198.5660215132282</v>
      </c>
      <c r="I11" s="114"/>
      <c r="J11" s="115">
        <v>3.8567496764967326</v>
      </c>
      <c r="K11" s="115">
        <v>25.637486366475574</v>
      </c>
      <c r="L11" s="115"/>
      <c r="M11" s="115">
        <v>4.1736582160448628E-3</v>
      </c>
      <c r="N11" s="114">
        <v>295.17597342991479</v>
      </c>
      <c r="O11" s="114">
        <v>0</v>
      </c>
      <c r="P11" s="122">
        <v>14.477183362494799</v>
      </c>
      <c r="Q11" s="122">
        <v>10.412016583703709</v>
      </c>
      <c r="R11" s="122">
        <v>3.4345440699740535</v>
      </c>
      <c r="S11" s="122">
        <v>1.0142596129869706E-3</v>
      </c>
      <c r="T11" s="123">
        <v>0.6296084492040499</v>
      </c>
      <c r="U11" s="122">
        <v>75.8582595733033</v>
      </c>
      <c r="V11" s="122">
        <v>10.412016583703709</v>
      </c>
      <c r="W11" s="122">
        <v>3.4345440699740535</v>
      </c>
      <c r="X11" s="122">
        <v>52.273821700636489</v>
      </c>
      <c r="Y11" s="123">
        <v>9.737877218989043</v>
      </c>
      <c r="Z11" s="124"/>
      <c r="AA11" s="124">
        <v>0.52449999999999997</v>
      </c>
      <c r="AB11" s="123">
        <v>5.5842594154717569</v>
      </c>
      <c r="AC11" s="71"/>
      <c r="AD11" s="119">
        <v>10.431904807869747</v>
      </c>
      <c r="AE11" s="120"/>
      <c r="AF11" s="115"/>
      <c r="AG11" s="119"/>
      <c r="AH11" s="119"/>
      <c r="AI11" s="119"/>
      <c r="AJ11" s="119"/>
      <c r="AK11" s="119"/>
      <c r="AL11" s="119"/>
    </row>
    <row r="12" spans="1:38" x14ac:dyDescent="0.25">
      <c r="A12" s="132"/>
      <c r="B12" s="113"/>
      <c r="C12" s="133"/>
      <c r="D12" s="71"/>
      <c r="E12" s="71"/>
      <c r="F12" s="71"/>
      <c r="G12" s="113">
        <v>6</v>
      </c>
      <c r="H12" s="114">
        <v>1197.9677372800049</v>
      </c>
      <c r="I12" s="114"/>
      <c r="J12" s="115">
        <v>4.9282058529796515</v>
      </c>
      <c r="K12" s="115">
        <v>59.08869628139351</v>
      </c>
      <c r="L12" s="115"/>
      <c r="M12" s="115">
        <v>1.1444519856260795E-2</v>
      </c>
      <c r="N12" s="114">
        <v>300.85970038765521</v>
      </c>
      <c r="O12" s="114">
        <v>0</v>
      </c>
      <c r="P12" s="122">
        <v>29.839157984944617</v>
      </c>
      <c r="Q12" s="122">
        <v>22.294840095603686</v>
      </c>
      <c r="R12" s="122">
        <v>5.9454545061547872</v>
      </c>
      <c r="S12" s="122">
        <v>2.9089979008439064E-3</v>
      </c>
      <c r="T12" s="123">
        <v>1.5959543852852995</v>
      </c>
      <c r="U12" s="122">
        <v>75.57160054174021</v>
      </c>
      <c r="V12" s="122">
        <v>22.294840095603686</v>
      </c>
      <c r="W12" s="122">
        <v>5.9454545061547872</v>
      </c>
      <c r="X12" s="122">
        <v>38.858912342118835</v>
      </c>
      <c r="Y12" s="123">
        <v>8.4723935978628973</v>
      </c>
      <c r="Z12" s="124"/>
      <c r="AA12" s="124">
        <v>0.64860000000000007</v>
      </c>
      <c r="AB12" s="123">
        <v>4.8748663166512678</v>
      </c>
      <c r="AC12" s="71"/>
      <c r="AD12" s="119">
        <v>15.432848814645739</v>
      </c>
      <c r="AE12" s="120"/>
      <c r="AF12" s="115"/>
      <c r="AG12" s="119"/>
      <c r="AH12" s="119"/>
      <c r="AI12" s="119"/>
      <c r="AJ12" s="119"/>
      <c r="AK12" s="119"/>
      <c r="AL12" s="119"/>
    </row>
    <row r="13" spans="1:38" x14ac:dyDescent="0.25">
      <c r="A13" s="132"/>
      <c r="B13" s="113"/>
      <c r="C13" s="133"/>
      <c r="D13" s="71"/>
      <c r="E13" s="71"/>
      <c r="F13" s="71"/>
      <c r="G13" s="113">
        <v>7</v>
      </c>
      <c r="H13" s="114">
        <v>1197.105488830113</v>
      </c>
      <c r="I13" s="114"/>
      <c r="J13" s="115">
        <v>6.0420561349485151</v>
      </c>
      <c r="K13" s="115">
        <v>110.47123529104988</v>
      </c>
      <c r="L13" s="115"/>
      <c r="M13" s="115">
        <v>3.3030772515410096E-2</v>
      </c>
      <c r="N13" s="114">
        <v>307.45988566495151</v>
      </c>
      <c r="O13" s="114">
        <v>0</v>
      </c>
      <c r="P13" s="122">
        <v>51.714263352875349</v>
      </c>
      <c r="Q13" s="122">
        <v>38.469525749964923</v>
      </c>
      <c r="R13" s="122">
        <v>9.668497179611137</v>
      </c>
      <c r="S13" s="122">
        <v>8.4188369951341633E-3</v>
      </c>
      <c r="T13" s="123">
        <v>3.5678215863041545</v>
      </c>
      <c r="U13" s="122">
        <v>86.0314922978949</v>
      </c>
      <c r="V13" s="122">
        <v>38.469525749964923</v>
      </c>
      <c r="W13" s="122">
        <v>9.668497179611137</v>
      </c>
      <c r="X13" s="122">
        <v>29.118113903483668</v>
      </c>
      <c r="Y13" s="123">
        <v>8.7753554648351724</v>
      </c>
      <c r="Z13" s="124"/>
      <c r="AA13" s="124">
        <v>0.77910000000000013</v>
      </c>
      <c r="AB13" s="123">
        <v>4.3091743597896421</v>
      </c>
      <c r="AC13" s="71"/>
      <c r="AD13" s="119">
        <v>20.2213344061261</v>
      </c>
      <c r="AE13" s="120"/>
      <c r="AF13" s="115"/>
      <c r="AG13" s="119"/>
      <c r="AH13" s="119"/>
      <c r="AI13" s="119"/>
      <c r="AJ13" s="119"/>
      <c r="AK13" s="119"/>
      <c r="AL13" s="119"/>
    </row>
    <row r="14" spans="1:38" x14ac:dyDescent="0.25">
      <c r="A14" s="134"/>
      <c r="B14" s="113"/>
      <c r="C14" s="133"/>
      <c r="D14" s="71"/>
      <c r="E14" s="71"/>
      <c r="F14" s="71"/>
      <c r="G14" s="113">
        <v>8</v>
      </c>
      <c r="H14" s="114">
        <v>1195.4914282861137</v>
      </c>
      <c r="I14" s="114"/>
      <c r="J14" s="115">
        <v>7.1817481848840732</v>
      </c>
      <c r="K14" s="115">
        <v>177.74140550727157</v>
      </c>
      <c r="L14" s="115"/>
      <c r="M14" s="115">
        <v>0.10522505193393064</v>
      </c>
      <c r="N14" s="114">
        <v>315.23246365650982</v>
      </c>
      <c r="O14" s="114">
        <v>0</v>
      </c>
      <c r="P14" s="122">
        <v>77.402289623967164</v>
      </c>
      <c r="Q14" s="122">
        <v>57.571659757012824</v>
      </c>
      <c r="R14" s="122">
        <v>13.546449249386031</v>
      </c>
      <c r="S14" s="122">
        <v>2.6355857962426527E-2</v>
      </c>
      <c r="T14" s="123">
        <v>6.2578247596058763</v>
      </c>
      <c r="U14" s="122">
        <v>103.32221651476839</v>
      </c>
      <c r="V14" s="122">
        <v>57.571659757012824</v>
      </c>
      <c r="W14" s="122">
        <v>13.546449249386031</v>
      </c>
      <c r="X14" s="122">
        <v>21.992738506271209</v>
      </c>
      <c r="Y14" s="123">
        <v>10.211369002098321</v>
      </c>
      <c r="Z14" s="124"/>
      <c r="AA14" s="124">
        <v>0.91600000000000004</v>
      </c>
      <c r="AB14" s="123">
        <v>3.8645659567990056</v>
      </c>
      <c r="AC14" s="71"/>
      <c r="AD14" s="119">
        <v>24.478136707719663</v>
      </c>
      <c r="AE14" s="120"/>
      <c r="AF14" s="115"/>
      <c r="AG14" s="119"/>
      <c r="AH14" s="119"/>
      <c r="AI14" s="119"/>
      <c r="AJ14" s="119"/>
      <c r="AK14" s="119"/>
      <c r="AL14" s="119"/>
    </row>
    <row r="15" spans="1:38" x14ac:dyDescent="0.25">
      <c r="A15" s="135"/>
      <c r="B15" s="136"/>
      <c r="C15" s="137"/>
      <c r="D15" s="71"/>
      <c r="E15" s="71"/>
      <c r="F15" s="71"/>
      <c r="G15" s="113">
        <v>9</v>
      </c>
      <c r="H15" s="114">
        <v>1192.5407756151453</v>
      </c>
      <c r="I15" s="114"/>
      <c r="J15" s="115">
        <v>8.3341651352571393</v>
      </c>
      <c r="K15" s="115">
        <v>254.89200563466883</v>
      </c>
      <c r="L15" s="115"/>
      <c r="M15" s="115">
        <v>0.28939151549293207</v>
      </c>
      <c r="N15" s="114">
        <v>324.36993824094515</v>
      </c>
      <c r="O15" s="114">
        <v>0</v>
      </c>
      <c r="P15" s="122">
        <v>103.96861400299466</v>
      </c>
      <c r="Q15" s="122">
        <v>77.379078368746946</v>
      </c>
      <c r="R15" s="122">
        <v>17.573923234558887</v>
      </c>
      <c r="S15" s="122">
        <v>7.571983553309948E-2</v>
      </c>
      <c r="T15" s="123">
        <v>8.9398925641557287</v>
      </c>
      <c r="U15" s="122">
        <v>123.66181601529563</v>
      </c>
      <c r="V15" s="122">
        <v>77.379078368746946</v>
      </c>
      <c r="W15" s="122">
        <v>17.573923234558887</v>
      </c>
      <c r="X15" s="122">
        <v>16.761347685172662</v>
      </c>
      <c r="Y15" s="123">
        <v>11.947466726817137</v>
      </c>
      <c r="Z15" s="124"/>
      <c r="AA15" s="124">
        <v>1.0592999999999999</v>
      </c>
      <c r="AB15" s="123">
        <v>3.522149310095585</v>
      </c>
      <c r="AC15" s="71"/>
      <c r="AD15" s="119">
        <v>27.998644899540771</v>
      </c>
      <c r="AE15" s="120"/>
      <c r="AF15" s="115"/>
      <c r="AG15" s="119"/>
      <c r="AH15" s="119"/>
      <c r="AI15" s="119"/>
      <c r="AJ15" s="119"/>
      <c r="AK15" s="119"/>
      <c r="AL15" s="119"/>
    </row>
    <row r="16" spans="1:38" x14ac:dyDescent="0.25">
      <c r="A16" s="71"/>
      <c r="B16" s="71"/>
      <c r="C16" s="71"/>
      <c r="D16" s="71"/>
      <c r="E16" s="71"/>
      <c r="F16" s="71"/>
      <c r="G16" s="113">
        <v>10</v>
      </c>
      <c r="H16" s="114">
        <v>1187.8679578211056</v>
      </c>
      <c r="I16" s="114"/>
      <c r="J16" s="115">
        <v>9.4888340317319795</v>
      </c>
      <c r="K16" s="115">
        <v>336.04724383158083</v>
      </c>
      <c r="L16" s="115"/>
      <c r="M16" s="115">
        <v>0.62824533766878965</v>
      </c>
      <c r="N16" s="114">
        <v>333.99917543212058</v>
      </c>
      <c r="O16" s="114">
        <v>0</v>
      </c>
      <c r="P16" s="122">
        <v>129.3323917523378</v>
      </c>
      <c r="Q16" s="122">
        <v>96.588568145214225</v>
      </c>
      <c r="R16" s="122">
        <v>21.49631770838894</v>
      </c>
      <c r="S16" s="122">
        <v>0.1806551948816231</v>
      </c>
      <c r="T16" s="123">
        <v>11.066850703853</v>
      </c>
      <c r="U16" s="122">
        <v>144.37380114308189</v>
      </c>
      <c r="V16" s="122">
        <v>96.588568145214225</v>
      </c>
      <c r="W16" s="122">
        <v>21.49631770838894</v>
      </c>
      <c r="X16" s="122">
        <v>12.930412925790515</v>
      </c>
      <c r="Y16" s="123">
        <v>13.358502363688212</v>
      </c>
      <c r="Z16" s="124"/>
      <c r="AA16" s="124">
        <v>1.2090000000000001</v>
      </c>
      <c r="AB16" s="123">
        <v>3.2661446639176446</v>
      </c>
      <c r="AC16" s="71"/>
      <c r="AD16" s="119">
        <v>30.796305659296483</v>
      </c>
      <c r="AE16" s="120"/>
      <c r="AF16" s="115"/>
      <c r="AG16" s="119"/>
      <c r="AH16" s="119"/>
      <c r="AI16" s="119"/>
      <c r="AJ16" s="119"/>
      <c r="AK16" s="119"/>
      <c r="AL16" s="119"/>
    </row>
    <row r="17" spans="1:38" x14ac:dyDescent="0.25">
      <c r="A17" s="125" t="s">
        <v>16</v>
      </c>
      <c r="B17" s="71"/>
      <c r="C17" s="71"/>
      <c r="D17" s="71"/>
      <c r="E17" s="71"/>
      <c r="F17" s="71"/>
      <c r="G17" s="113">
        <v>11</v>
      </c>
      <c r="H17" s="114">
        <v>1181.3639318103035</v>
      </c>
      <c r="I17" s="114"/>
      <c r="J17" s="115">
        <v>10.637368004136505</v>
      </c>
      <c r="K17" s="115">
        <v>418.70459470734056</v>
      </c>
      <c r="L17" s="115"/>
      <c r="M17" s="115">
        <v>1.1225931599663475</v>
      </c>
      <c r="N17" s="114">
        <v>342.56945601859434</v>
      </c>
      <c r="O17" s="114">
        <v>0</v>
      </c>
      <c r="P17" s="122">
        <v>153.43841047700832</v>
      </c>
      <c r="Q17" s="122">
        <v>115.2293103279533</v>
      </c>
      <c r="R17" s="122">
        <v>25.524151136292456</v>
      </c>
      <c r="S17" s="122">
        <v>0.36155886445005581</v>
      </c>
      <c r="T17" s="123">
        <v>12.323390148312505</v>
      </c>
      <c r="U17" s="122">
        <v>164.98060328232211</v>
      </c>
      <c r="V17" s="122">
        <v>115.2293103279533</v>
      </c>
      <c r="W17" s="122">
        <v>25.524151136292456</v>
      </c>
      <c r="X17" s="122">
        <v>10.155343217592817</v>
      </c>
      <c r="Y17" s="123">
        <v>14.071798600483534</v>
      </c>
      <c r="Z17" s="124"/>
      <c r="AA17" s="124">
        <v>1.3651000000000002</v>
      </c>
      <c r="AB17" s="123">
        <v>3.0833716583340611</v>
      </c>
      <c r="AC17" s="71"/>
      <c r="AD17" s="119">
        <v>33.050581834583269</v>
      </c>
      <c r="AE17" s="120"/>
      <c r="AF17" s="115"/>
      <c r="AG17" s="119"/>
      <c r="AH17" s="119"/>
      <c r="AI17" s="119"/>
      <c r="AJ17" s="119"/>
      <c r="AK17" s="119"/>
      <c r="AL17" s="119"/>
    </row>
    <row r="18" spans="1:38" x14ac:dyDescent="0.25">
      <c r="A18" s="126" t="s">
        <v>17</v>
      </c>
      <c r="B18" s="126" t="s">
        <v>21</v>
      </c>
      <c r="C18" s="126" t="s">
        <v>187</v>
      </c>
      <c r="D18" s="126" t="s">
        <v>188</v>
      </c>
      <c r="E18" s="71"/>
      <c r="F18" s="71"/>
      <c r="G18" s="113">
        <v>12</v>
      </c>
      <c r="H18" s="114">
        <v>1173.0736597921009</v>
      </c>
      <c r="I18" s="114"/>
      <c r="J18" s="115">
        <v>11.773055288992216</v>
      </c>
      <c r="K18" s="115">
        <v>502.72935531128149</v>
      </c>
      <c r="L18" s="115"/>
      <c r="M18" s="115">
        <v>1.7586217236232711</v>
      </c>
      <c r="N18" s="114">
        <v>349.26016116996408</v>
      </c>
      <c r="O18" s="114">
        <v>0</v>
      </c>
      <c r="P18" s="122">
        <v>176.83286536340563</v>
      </c>
      <c r="Q18" s="122">
        <v>133.77745070929691</v>
      </c>
      <c r="R18" s="122">
        <v>29.675329390831969</v>
      </c>
      <c r="S18" s="122">
        <v>0.63275659983155952</v>
      </c>
      <c r="T18" s="123">
        <v>12.747328663445195</v>
      </c>
      <c r="U18" s="122">
        <v>185.72628660323937</v>
      </c>
      <c r="V18" s="122">
        <v>133.77745070929691</v>
      </c>
      <c r="W18" s="122">
        <v>29.675329390831969</v>
      </c>
      <c r="X18" s="122">
        <v>8.1908568986140917</v>
      </c>
      <c r="Y18" s="123">
        <v>14.082649604496412</v>
      </c>
      <c r="Z18" s="124"/>
      <c r="AA18" s="124">
        <v>1.5276000000000003</v>
      </c>
      <c r="AB18" s="123">
        <v>2.9628211313186883</v>
      </c>
      <c r="AC18" s="71"/>
      <c r="AD18" s="119">
        <v>34.95222696472397</v>
      </c>
      <c r="AE18" s="120"/>
      <c r="AF18" s="115"/>
      <c r="AG18" s="119"/>
      <c r="AH18" s="119"/>
      <c r="AI18" s="119"/>
      <c r="AJ18" s="119"/>
      <c r="AK18" s="119"/>
      <c r="AL18" s="119"/>
    </row>
    <row r="19" spans="1:38" x14ac:dyDescent="0.25">
      <c r="A19" s="128" t="s">
        <v>189</v>
      </c>
      <c r="B19" s="128" t="s">
        <v>185</v>
      </c>
      <c r="C19" s="127" t="s">
        <v>186</v>
      </c>
      <c r="D19" s="138" t="s">
        <v>190</v>
      </c>
      <c r="E19" s="71"/>
      <c r="F19" s="71"/>
      <c r="G19" s="113">
        <v>13</v>
      </c>
      <c r="H19" s="114">
        <v>1163.0933903514078</v>
      </c>
      <c r="I19" s="114"/>
      <c r="J19" s="115">
        <v>12.890546283401592</v>
      </c>
      <c r="K19" s="115">
        <v>588.37946158054217</v>
      </c>
      <c r="L19" s="115"/>
      <c r="M19" s="115">
        <v>2.5276123817311129</v>
      </c>
      <c r="N19" s="114">
        <v>354.26659619642959</v>
      </c>
      <c r="O19" s="114">
        <v>0</v>
      </c>
      <c r="P19" s="122">
        <v>200.11031935508825</v>
      </c>
      <c r="Q19" s="122">
        <v>152.52518398998774</v>
      </c>
      <c r="R19" s="122">
        <v>33.966304345091267</v>
      </c>
      <c r="S19" s="122">
        <v>1.0044373522039542</v>
      </c>
      <c r="T19" s="123">
        <v>12.614393667805288</v>
      </c>
      <c r="U19" s="122">
        <v>206.98737160271304</v>
      </c>
      <c r="V19" s="122">
        <v>152.52518398998774</v>
      </c>
      <c r="W19" s="122">
        <v>33.966304345091267</v>
      </c>
      <c r="X19" s="122">
        <v>6.8608191872221322</v>
      </c>
      <c r="Y19" s="123">
        <v>13.635064080411894</v>
      </c>
      <c r="Z19" s="124"/>
      <c r="AA19" s="124">
        <v>1.6965000000000003</v>
      </c>
      <c r="AB19" s="123">
        <v>2.895297457778486</v>
      </c>
      <c r="AC19" s="71"/>
      <c r="AD19" s="119">
        <v>36.629703634354335</v>
      </c>
      <c r="AE19" s="120"/>
      <c r="AF19" s="115"/>
      <c r="AG19" s="119"/>
      <c r="AH19" s="119"/>
      <c r="AI19" s="119"/>
      <c r="AJ19" s="119"/>
      <c r="AK19" s="119"/>
      <c r="AL19" s="119"/>
    </row>
    <row r="20" spans="1:38" x14ac:dyDescent="0.25">
      <c r="A20" s="130"/>
      <c r="B20" s="130"/>
      <c r="C20" s="131"/>
      <c r="D20" s="139"/>
      <c r="E20" s="71"/>
      <c r="F20" s="71"/>
      <c r="G20" s="113">
        <v>14</v>
      </c>
      <c r="H20" s="114">
        <v>1151.5405342367569</v>
      </c>
      <c r="I20" s="114"/>
      <c r="J20" s="115">
        <v>13.985609203170076</v>
      </c>
      <c r="K20" s="115">
        <v>675.51459370716111</v>
      </c>
      <c r="L20" s="115"/>
      <c r="M20" s="115">
        <v>3.4220932148936116</v>
      </c>
      <c r="N20" s="114">
        <v>358.15374905268305</v>
      </c>
      <c r="O20" s="114">
        <v>0</v>
      </c>
      <c r="P20" s="122">
        <v>223.54738449675733</v>
      </c>
      <c r="Q20" s="122">
        <v>171.49154178924312</v>
      </c>
      <c r="R20" s="122">
        <v>38.349932938674314</v>
      </c>
      <c r="S20" s="122">
        <v>1.4835354566416592</v>
      </c>
      <c r="T20" s="123">
        <v>12.222374312198248</v>
      </c>
      <c r="U20" s="122">
        <v>228.88174070715394</v>
      </c>
      <c r="V20" s="122">
        <v>171.49154178924312</v>
      </c>
      <c r="W20" s="122">
        <v>38.349932938674314</v>
      </c>
      <c r="X20" s="122">
        <v>6.0372184696151621</v>
      </c>
      <c r="Y20" s="123">
        <v>13.003047509621332</v>
      </c>
      <c r="Z20" s="124"/>
      <c r="AA20" s="124">
        <v>1.8718000000000001</v>
      </c>
      <c r="AB20" s="123">
        <v>2.8731198059979315</v>
      </c>
      <c r="AC20" s="71"/>
      <c r="AD20" s="119">
        <v>38.154484142593205</v>
      </c>
      <c r="AE20" s="120"/>
      <c r="AF20" s="115"/>
      <c r="AG20" s="119"/>
      <c r="AH20" s="119"/>
      <c r="AI20" s="119"/>
      <c r="AJ20" s="119"/>
      <c r="AK20" s="119"/>
      <c r="AL20" s="119"/>
    </row>
    <row r="21" spans="1:38" x14ac:dyDescent="0.25">
      <c r="A21" s="113"/>
      <c r="B21" s="113"/>
      <c r="C21" s="133"/>
      <c r="D21" s="120"/>
      <c r="E21" s="71"/>
      <c r="F21" s="71"/>
      <c r="G21" s="113">
        <v>15</v>
      </c>
      <c r="H21" s="114">
        <v>1138.5529316076579</v>
      </c>
      <c r="I21" s="114"/>
      <c r="J21" s="115">
        <v>15.054935583897441</v>
      </c>
      <c r="K21" s="115">
        <v>763.63237459321067</v>
      </c>
      <c r="L21" s="115"/>
      <c r="M21" s="115">
        <v>4.4291054324447661</v>
      </c>
      <c r="N21" s="114">
        <v>361.37383891751682</v>
      </c>
      <c r="O21" s="114">
        <v>0</v>
      </c>
      <c r="P21" s="122">
        <v>247.19392551923389</v>
      </c>
      <c r="Q21" s="122">
        <v>190.56174595364587</v>
      </c>
      <c r="R21" s="122">
        <v>42.794005089260573</v>
      </c>
      <c r="S21" s="122">
        <v>2.0731341510972734</v>
      </c>
      <c r="T21" s="123">
        <v>11.765040325230162</v>
      </c>
      <c r="U21" s="122">
        <v>251.34273100861267</v>
      </c>
      <c r="V21" s="122">
        <v>190.56174595364587</v>
      </c>
      <c r="W21" s="122">
        <v>42.794005089260573</v>
      </c>
      <c r="X21" s="122">
        <v>5.6245215328559492</v>
      </c>
      <c r="Y21" s="123">
        <v>12.362458432850293</v>
      </c>
      <c r="Z21" s="124"/>
      <c r="AA21" s="124">
        <v>2.0535000000000001</v>
      </c>
      <c r="AB21" s="123">
        <v>2.8898726060461866</v>
      </c>
      <c r="AC21" s="71"/>
      <c r="AD21" s="119">
        <v>39.565216834506423</v>
      </c>
      <c r="AE21" s="120"/>
      <c r="AF21" s="115"/>
      <c r="AG21" s="119"/>
      <c r="AH21" s="119"/>
      <c r="AI21" s="119"/>
      <c r="AJ21" s="119"/>
      <c r="AK21" s="119"/>
      <c r="AL21" s="119"/>
    </row>
    <row r="22" spans="1:38" x14ac:dyDescent="0.25">
      <c r="A22" s="113"/>
      <c r="B22" s="113"/>
      <c r="C22" s="133"/>
      <c r="D22" s="120"/>
      <c r="E22" s="71"/>
      <c r="F22" s="71"/>
      <c r="G22" s="113">
        <v>16</v>
      </c>
      <c r="H22" s="114">
        <v>1124.2897088672873</v>
      </c>
      <c r="I22" s="114"/>
      <c r="J22" s="115">
        <v>16.095983102011409</v>
      </c>
      <c r="K22" s="115">
        <v>852.02548850020003</v>
      </c>
      <c r="L22" s="115"/>
      <c r="M22" s="115">
        <v>5.5283757403861236</v>
      </c>
      <c r="N22" s="114">
        <v>364.21962645744748</v>
      </c>
      <c r="O22" s="114">
        <v>0</v>
      </c>
      <c r="P22" s="122">
        <v>270.93666180054856</v>
      </c>
      <c r="Q22" s="122">
        <v>209.57853744612009</v>
      </c>
      <c r="R22" s="122">
        <v>47.255940305415479</v>
      </c>
      <c r="S22" s="122">
        <v>2.7716320005299067</v>
      </c>
      <c r="T22" s="123">
        <v>11.330552048483112</v>
      </c>
      <c r="U22" s="122">
        <v>274.17082659986488</v>
      </c>
      <c r="V22" s="122">
        <v>209.57853744612009</v>
      </c>
      <c r="W22" s="122">
        <v>47.255940305415479</v>
      </c>
      <c r="X22" s="122">
        <v>5.548428325824573</v>
      </c>
      <c r="Y22" s="123">
        <v>11.787920522504709</v>
      </c>
      <c r="Z22" s="124"/>
      <c r="AA22" s="124">
        <v>2.2416</v>
      </c>
      <c r="AB22" s="123">
        <v>2.9401971234707944</v>
      </c>
      <c r="AC22" s="71"/>
      <c r="AD22" s="119">
        <v>40.883377161735268</v>
      </c>
      <c r="AE22" s="120"/>
      <c r="AF22" s="115"/>
      <c r="AG22" s="119"/>
      <c r="AH22" s="119"/>
      <c r="AI22" s="119"/>
      <c r="AJ22" s="119"/>
      <c r="AK22" s="119"/>
      <c r="AL22" s="119"/>
    </row>
    <row r="23" spans="1:38" x14ac:dyDescent="0.25">
      <c r="A23" s="113"/>
      <c r="B23" s="113"/>
      <c r="C23" s="133"/>
      <c r="D23" s="120"/>
      <c r="E23" s="71"/>
      <c r="F23" s="71"/>
      <c r="G23" s="113">
        <v>17</v>
      </c>
      <c r="H23" s="114">
        <v>1108.9279123121826</v>
      </c>
      <c r="I23" s="114"/>
      <c r="J23" s="115">
        <v>17.106847031721085</v>
      </c>
      <c r="K23" s="115">
        <v>939.92939410724625</v>
      </c>
      <c r="L23" s="115"/>
      <c r="M23" s="115">
        <v>6.6935940154817999</v>
      </c>
      <c r="N23" s="114">
        <v>366.85902709526169</v>
      </c>
      <c r="O23" s="114">
        <v>0</v>
      </c>
      <c r="P23" s="122">
        <v>294.60265208972442</v>
      </c>
      <c r="Q23" s="122">
        <v>228.3833369883331</v>
      </c>
      <c r="R23" s="122">
        <v>51.702547968326691</v>
      </c>
      <c r="S23" s="122">
        <v>3.5723442348414611</v>
      </c>
      <c r="T23" s="123">
        <v>10.944422898223161</v>
      </c>
      <c r="U23" s="122">
        <v>297.12878558930652</v>
      </c>
      <c r="V23" s="122">
        <v>228.3833369883331</v>
      </c>
      <c r="W23" s="122">
        <v>51.702547968326691</v>
      </c>
      <c r="X23" s="122">
        <v>5.7482135786062987</v>
      </c>
      <c r="Y23" s="123">
        <v>11.29468705404042</v>
      </c>
      <c r="Z23" s="124"/>
      <c r="AA23" s="124">
        <v>2.4361000000000002</v>
      </c>
      <c r="AB23" s="123">
        <v>3.0196173670127573</v>
      </c>
      <c r="AC23" s="71"/>
      <c r="AD23" s="119">
        <v>42.122012901978763</v>
      </c>
      <c r="AE23" s="120"/>
      <c r="AF23" s="115"/>
      <c r="AG23" s="119"/>
      <c r="AH23" s="119"/>
      <c r="AI23" s="119"/>
      <c r="AJ23" s="119"/>
      <c r="AK23" s="119"/>
      <c r="AL23" s="119"/>
    </row>
    <row r="24" spans="1:38" x14ac:dyDescent="0.25">
      <c r="A24" s="136"/>
      <c r="B24" s="136"/>
      <c r="C24" s="137"/>
      <c r="D24" s="140"/>
      <c r="E24" s="71"/>
      <c r="F24" s="71"/>
      <c r="G24" s="113">
        <v>18</v>
      </c>
      <c r="H24" s="114">
        <v>1092.6557498202694</v>
      </c>
      <c r="I24" s="114"/>
      <c r="J24" s="115">
        <v>18.086154119839335</v>
      </c>
      <c r="K24" s="115">
        <v>1026.6280893207788</v>
      </c>
      <c r="L24" s="115"/>
      <c r="M24" s="115">
        <v>7.8951367059310131</v>
      </c>
      <c r="N24" s="114">
        <v>369.37908832870556</v>
      </c>
      <c r="O24" s="114">
        <v>0</v>
      </c>
      <c r="P24" s="122">
        <v>318.00765558196167</v>
      </c>
      <c r="Q24" s="122">
        <v>246.8358248727547</v>
      </c>
      <c r="R24" s="122">
        <v>56.103831203229866</v>
      </c>
      <c r="S24" s="122">
        <v>4.4637549404119348</v>
      </c>
      <c r="T24" s="123">
        <v>10.604244565565148</v>
      </c>
      <c r="U24" s="122">
        <v>319.98408591228406</v>
      </c>
      <c r="V24" s="122">
        <v>246.8358248727547</v>
      </c>
      <c r="W24" s="122">
        <v>56.103831203229866</v>
      </c>
      <c r="X24" s="122">
        <v>6.1718749878973176</v>
      </c>
      <c r="Y24" s="123">
        <v>10.872554848402196</v>
      </c>
      <c r="Z24" s="124"/>
      <c r="AA24" s="124">
        <v>2.637</v>
      </c>
      <c r="AB24" s="123">
        <v>3.124394674506894</v>
      </c>
      <c r="AC24" s="71"/>
      <c r="AD24" s="119">
        <v>43.290268582669562</v>
      </c>
      <c r="AE24" s="120"/>
      <c r="AF24" s="115"/>
      <c r="AG24" s="119"/>
      <c r="AH24" s="119"/>
      <c r="AI24" s="119"/>
      <c r="AJ24" s="119"/>
      <c r="AK24" s="119"/>
      <c r="AL24" s="119"/>
    </row>
    <row r="25" spans="1:38" x14ac:dyDescent="0.25">
      <c r="A25" s="71"/>
      <c r="B25" s="71"/>
      <c r="C25" s="71"/>
      <c r="D25" s="71"/>
      <c r="E25" s="71"/>
      <c r="F25" s="71"/>
      <c r="G25" s="113">
        <v>19</v>
      </c>
      <c r="H25" s="114">
        <v>1075.6648662173286</v>
      </c>
      <c r="I25" s="114"/>
      <c r="J25" s="115">
        <v>19.032974303539632</v>
      </c>
      <c r="K25" s="115">
        <v>1111.4657501655704</v>
      </c>
      <c r="L25" s="115"/>
      <c r="M25" s="115">
        <v>9.1026492087909006</v>
      </c>
      <c r="N25" s="114">
        <v>371.85026248317087</v>
      </c>
      <c r="O25" s="114">
        <v>0</v>
      </c>
      <c r="P25" s="122">
        <v>340.97144524770812</v>
      </c>
      <c r="Q25" s="122">
        <v>264.81072129130803</v>
      </c>
      <c r="R25" s="122">
        <v>60.431989241207148</v>
      </c>
      <c r="S25" s="122">
        <v>5.4302746977601242</v>
      </c>
      <c r="T25" s="123">
        <v>10.298460017432816</v>
      </c>
      <c r="U25" s="122">
        <v>342.52001548078448</v>
      </c>
      <c r="V25" s="122">
        <v>264.81072129130803</v>
      </c>
      <c r="W25" s="122">
        <v>60.431989241207148</v>
      </c>
      <c r="X25" s="122">
        <v>6.7732711607189824</v>
      </c>
      <c r="Y25" s="123">
        <v>10.50403378755033</v>
      </c>
      <c r="Z25" s="124"/>
      <c r="AA25" s="124">
        <v>2.8443000000000001</v>
      </c>
      <c r="AB25" s="123">
        <v>3.2514062528161016</v>
      </c>
      <c r="AC25" s="71"/>
      <c r="AD25" s="119">
        <v>44.394541254051227</v>
      </c>
      <c r="AE25" s="120"/>
      <c r="AF25" s="115"/>
      <c r="AG25" s="119"/>
      <c r="AH25" s="119"/>
      <c r="AI25" s="119"/>
      <c r="AJ25" s="119"/>
      <c r="AK25" s="119"/>
      <c r="AL25" s="119"/>
    </row>
    <row r="26" spans="1:38" ht="14.45" customHeight="1" x14ac:dyDescent="0.25">
      <c r="A26" s="141" t="s">
        <v>191</v>
      </c>
      <c r="B26" s="142"/>
      <c r="C26" s="71"/>
      <c r="D26" s="71"/>
      <c r="E26" s="71"/>
      <c r="F26" s="71"/>
      <c r="G26" s="113">
        <v>20</v>
      </c>
      <c r="H26" s="114">
        <v>1058.1428676293385</v>
      </c>
      <c r="I26" s="114"/>
      <c r="J26" s="115">
        <v>19.946746826172014</v>
      </c>
      <c r="K26" s="115">
        <v>1193.3350944771942</v>
      </c>
      <c r="L26" s="115"/>
      <c r="M26" s="115">
        <v>10.284888898704247</v>
      </c>
      <c r="N26" s="114">
        <v>374.6494167835794</v>
      </c>
      <c r="O26" s="114">
        <v>0</v>
      </c>
      <c r="P26" s="122">
        <v>363.13510403688196</v>
      </c>
      <c r="Q26" s="122">
        <v>282.06286659367629</v>
      </c>
      <c r="R26" s="122">
        <v>64.604751086843891</v>
      </c>
      <c r="S26" s="122">
        <v>6.452908255854326</v>
      </c>
      <c r="T26" s="123">
        <v>10.014578100507459</v>
      </c>
      <c r="U26" s="122">
        <v>364.34992677353989</v>
      </c>
      <c r="V26" s="122">
        <v>282.06286659367629</v>
      </c>
      <c r="W26" s="122">
        <v>64.604751086843891</v>
      </c>
      <c r="X26" s="122">
        <v>7.5101991663818923</v>
      </c>
      <c r="Y26" s="123">
        <v>10.172109926637846</v>
      </c>
      <c r="Z26" s="124"/>
      <c r="AA26" s="124">
        <v>3.0579999999999998</v>
      </c>
      <c r="AB26" s="123">
        <v>3.3980437258565557</v>
      </c>
      <c r="AC26" s="71"/>
      <c r="AD26" s="119">
        <v>45.429401061448246</v>
      </c>
      <c r="AE26" s="120"/>
      <c r="AF26" s="115"/>
      <c r="AG26" s="119"/>
      <c r="AH26" s="119"/>
      <c r="AI26" s="119"/>
      <c r="AJ26" s="119"/>
      <c r="AK26" s="119"/>
      <c r="AL26" s="119"/>
    </row>
    <row r="27" spans="1:38" ht="14.45" customHeight="1" x14ac:dyDescent="0.25">
      <c r="A27" s="143" t="s">
        <v>125</v>
      </c>
      <c r="B27" s="144"/>
      <c r="C27" s="106">
        <v>24.6</v>
      </c>
      <c r="D27" s="71"/>
      <c r="E27" s="71"/>
      <c r="F27" s="71"/>
      <c r="G27" s="113">
        <v>21</v>
      </c>
      <c r="H27" s="114">
        <v>1040.2743585410697</v>
      </c>
      <c r="I27" s="114"/>
      <c r="J27" s="115">
        <v>20.827218105216865</v>
      </c>
      <c r="K27" s="115">
        <v>1273.7090096578022</v>
      </c>
      <c r="L27" s="115"/>
      <c r="M27" s="115">
        <v>11.417825908060264</v>
      </c>
      <c r="N27" s="114">
        <v>376.2686198888714</v>
      </c>
      <c r="O27" s="114">
        <v>0</v>
      </c>
      <c r="P27" s="122">
        <v>385.13596290035042</v>
      </c>
      <c r="Q27" s="122">
        <v>299.0161790851991</v>
      </c>
      <c r="R27" s="122">
        <v>68.872470695111076</v>
      </c>
      <c r="S27" s="122">
        <v>7.5110113114174482</v>
      </c>
      <c r="T27" s="123">
        <v>9.7363018086227893</v>
      </c>
      <c r="U27" s="122">
        <v>386.08996519125367</v>
      </c>
      <c r="V27" s="122">
        <v>299.0161790851991</v>
      </c>
      <c r="W27" s="122">
        <v>68.872470695111076</v>
      </c>
      <c r="X27" s="122">
        <v>8.3442810305493502</v>
      </c>
      <c r="Y27" s="123">
        <v>9.8570343803941185</v>
      </c>
      <c r="Z27" s="124"/>
      <c r="AA27" s="124">
        <v>3.2781000000000002</v>
      </c>
      <c r="AB27" s="123">
        <v>3.5621283947852822</v>
      </c>
      <c r="AC27" s="71"/>
      <c r="AD27" s="119">
        <v>46.43527727788107</v>
      </c>
      <c r="AE27" s="120"/>
      <c r="AF27" s="115"/>
      <c r="AG27" s="119"/>
      <c r="AH27" s="119"/>
      <c r="AI27" s="119"/>
      <c r="AJ27" s="119"/>
      <c r="AK27" s="119"/>
      <c r="AL27" s="119"/>
    </row>
    <row r="28" spans="1:38" ht="14.45" customHeight="1" x14ac:dyDescent="0.25">
      <c r="A28" s="143" t="s">
        <v>192</v>
      </c>
      <c r="B28" s="144"/>
      <c r="C28" s="106">
        <v>638</v>
      </c>
      <c r="D28" s="71"/>
      <c r="E28" s="71"/>
      <c r="F28" s="71"/>
      <c r="G28" s="113">
        <v>22</v>
      </c>
      <c r="H28" s="114">
        <v>1022.1701929028471</v>
      </c>
      <c r="I28" s="114"/>
      <c r="J28" s="115">
        <v>21.674389285162174</v>
      </c>
      <c r="K28" s="115">
        <v>1352.5722523944887</v>
      </c>
      <c r="L28" s="115"/>
      <c r="M28" s="115">
        <v>12.531700210489797</v>
      </c>
      <c r="N28" s="114">
        <v>377.69206780468721</v>
      </c>
      <c r="O28" s="114">
        <v>0</v>
      </c>
      <c r="P28" s="122">
        <v>406.78087207836523</v>
      </c>
      <c r="Q28" s="122">
        <v>315.67904649727507</v>
      </c>
      <c r="R28" s="122">
        <v>73.037849354130003</v>
      </c>
      <c r="S28" s="122">
        <v>8.5945529519491544</v>
      </c>
      <c r="T28" s="123">
        <v>9.4694232750109855</v>
      </c>
      <c r="U28" s="122">
        <v>407.53072149518169</v>
      </c>
      <c r="V28" s="122">
        <v>315.67904649727507</v>
      </c>
      <c r="W28" s="122">
        <v>73.037849354130003</v>
      </c>
      <c r="X28" s="122">
        <v>9.2518634314226667</v>
      </c>
      <c r="Y28" s="123">
        <v>9.5619622123539738</v>
      </c>
      <c r="Z28" s="124"/>
      <c r="AA28" s="124">
        <v>3.5046000000000004</v>
      </c>
      <c r="AB28" s="123">
        <v>3.7418404573591069</v>
      </c>
      <c r="AC28" s="71"/>
      <c r="AD28" s="119">
        <v>47.419759602383138</v>
      </c>
      <c r="AE28" s="120"/>
      <c r="AF28" s="115"/>
      <c r="AG28" s="119"/>
      <c r="AH28" s="119"/>
      <c r="AI28" s="119"/>
      <c r="AJ28" s="119"/>
      <c r="AK28" s="119"/>
      <c r="AL28" s="119"/>
    </row>
    <row r="29" spans="1:38" ht="14.45" customHeight="1" x14ac:dyDescent="0.25">
      <c r="A29" s="143" t="s">
        <v>193</v>
      </c>
      <c r="B29" s="144"/>
      <c r="C29" s="106">
        <v>50.87</v>
      </c>
      <c r="D29" s="71"/>
      <c r="E29" s="71"/>
      <c r="F29" s="71"/>
      <c r="G29" s="113">
        <v>23</v>
      </c>
      <c r="H29" s="114">
        <v>1003.940126081216</v>
      </c>
      <c r="I29" s="114"/>
      <c r="J29" s="115">
        <v>22.488471836306619</v>
      </c>
      <c r="K29" s="115">
        <v>1429.6117417399469</v>
      </c>
      <c r="L29" s="115"/>
      <c r="M29" s="115">
        <v>13.609299943262496</v>
      </c>
      <c r="N29" s="114">
        <v>379.16440261429415</v>
      </c>
      <c r="O29" s="114">
        <v>0</v>
      </c>
      <c r="P29" s="122">
        <v>428.05214307947563</v>
      </c>
      <c r="Q29" s="122">
        <v>331.96350946381187</v>
      </c>
      <c r="R29" s="122">
        <v>77.162690585724889</v>
      </c>
      <c r="S29" s="122">
        <v>9.6917272192554798</v>
      </c>
      <c r="T29" s="123">
        <v>9.2342158106833718</v>
      </c>
      <c r="U29" s="122">
        <v>428.64197817518857</v>
      </c>
      <c r="V29" s="122">
        <v>331.96350946381187</v>
      </c>
      <c r="W29" s="122">
        <v>77.162690585724889</v>
      </c>
      <c r="X29" s="122">
        <v>10.21062752667928</v>
      </c>
      <c r="Y29" s="123">
        <v>9.3051505989725278</v>
      </c>
      <c r="Z29" s="124"/>
      <c r="AA29" s="124">
        <v>3.7375000000000003</v>
      </c>
      <c r="AB29" s="123">
        <v>3.9356598869736485</v>
      </c>
      <c r="AC29" s="71"/>
      <c r="AD29" s="119">
        <v>48.383157679743263</v>
      </c>
      <c r="AE29" s="120"/>
      <c r="AF29" s="115"/>
      <c r="AG29" s="119"/>
      <c r="AH29" s="119"/>
      <c r="AI29" s="119"/>
      <c r="AJ29" s="119"/>
      <c r="AK29" s="119"/>
      <c r="AL29" s="119"/>
    </row>
    <row r="30" spans="1:38" x14ac:dyDescent="0.25">
      <c r="A30" s="143" t="s">
        <v>130</v>
      </c>
      <c r="B30" s="144"/>
      <c r="C30" s="106">
        <v>30.4</v>
      </c>
      <c r="D30" s="71"/>
      <c r="E30" s="71"/>
      <c r="F30" s="71"/>
      <c r="G30" s="113">
        <v>24</v>
      </c>
      <c r="H30" s="114">
        <v>985.68488066482905</v>
      </c>
      <c r="I30" s="114"/>
      <c r="J30" s="115">
        <v>23.26984988338971</v>
      </c>
      <c r="K30" s="115">
        <v>1504.5673568668358</v>
      </c>
      <c r="L30" s="115"/>
      <c r="M30" s="115">
        <v>14.637607880291393</v>
      </c>
      <c r="N30" s="114">
        <v>380.6945204289479</v>
      </c>
      <c r="O30" s="114">
        <v>0</v>
      </c>
      <c r="P30" s="122">
        <v>448.82468971675837</v>
      </c>
      <c r="Q30" s="122">
        <v>347.80048215490893</v>
      </c>
      <c r="R30" s="122">
        <v>81.199060605254942</v>
      </c>
      <c r="S30" s="122">
        <v>10.790237101696421</v>
      </c>
      <c r="T30" s="123">
        <v>9.0349098548980908</v>
      </c>
      <c r="U30" s="122">
        <v>449.2889607144582</v>
      </c>
      <c r="V30" s="122">
        <v>347.80048215490893</v>
      </c>
      <c r="W30" s="122">
        <v>81.199060605254942</v>
      </c>
      <c r="X30" s="122">
        <v>11.200130318330233</v>
      </c>
      <c r="Y30" s="123">
        <v>9.0892876359640749</v>
      </c>
      <c r="Z30" s="124"/>
      <c r="AA30" s="124">
        <v>3.9768000000000008</v>
      </c>
      <c r="AB30" s="123">
        <v>4.1423170506857137</v>
      </c>
      <c r="AC30" s="71"/>
      <c r="AD30" s="119">
        <v>49.325709381403144</v>
      </c>
      <c r="AE30" s="120"/>
      <c r="AF30" s="115"/>
      <c r="AG30" s="119"/>
      <c r="AH30" s="119"/>
      <c r="AI30" s="119"/>
      <c r="AJ30" s="119"/>
      <c r="AK30" s="119"/>
      <c r="AL30" s="119"/>
    </row>
    <row r="31" spans="1:38" x14ac:dyDescent="0.25">
      <c r="A31" s="71"/>
      <c r="B31" s="71"/>
      <c r="C31" s="71"/>
      <c r="D31" s="71"/>
      <c r="E31" s="71"/>
      <c r="F31" s="71"/>
      <c r="G31" s="113">
        <v>25</v>
      </c>
      <c r="H31" s="114">
        <v>967.49500032071182</v>
      </c>
      <c r="I31" s="114"/>
      <c r="J31" s="115">
        <v>24.019048195541746</v>
      </c>
      <c r="K31" s="115">
        <v>1577.2303358373231</v>
      </c>
      <c r="L31" s="115"/>
      <c r="M31" s="115">
        <v>15.605998393252548</v>
      </c>
      <c r="N31" s="114">
        <v>382.2884736794922</v>
      </c>
      <c r="O31" s="114">
        <v>0</v>
      </c>
      <c r="P31" s="122">
        <v>469.05391813988103</v>
      </c>
      <c r="Q31" s="122">
        <v>363.16330891785555</v>
      </c>
      <c r="R31" s="122">
        <v>85.156942282636493</v>
      </c>
      <c r="S31" s="122">
        <v>11.877916249699307</v>
      </c>
      <c r="T31" s="123">
        <v>8.8557506896896623</v>
      </c>
      <c r="U31" s="122">
        <v>469.41956075120976</v>
      </c>
      <c r="V31" s="122">
        <v>363.16330891785555</v>
      </c>
      <c r="W31" s="122">
        <v>85.156942282636493</v>
      </c>
      <c r="X31" s="122">
        <v>12.201871407327232</v>
      </c>
      <c r="Y31" s="123">
        <v>8.8974381433904739</v>
      </c>
      <c r="Z31" s="124"/>
      <c r="AA31" s="124">
        <v>4.2225000000000001</v>
      </c>
      <c r="AB31" s="123">
        <v>4.3607514619184258</v>
      </c>
      <c r="AC31" s="71"/>
      <c r="AD31" s="119">
        <v>50.247632865819114</v>
      </c>
      <c r="AE31" s="120"/>
      <c r="AF31" s="115"/>
      <c r="AG31" s="119"/>
      <c r="AH31" s="119"/>
      <c r="AI31" s="119"/>
      <c r="AJ31" s="119"/>
      <c r="AK31" s="119"/>
      <c r="AL31" s="119"/>
    </row>
    <row r="32" spans="1:38" x14ac:dyDescent="0.25">
      <c r="A32" s="141" t="s">
        <v>194</v>
      </c>
      <c r="B32" s="142"/>
      <c r="C32" s="145"/>
      <c r="D32" s="71"/>
      <c r="E32" s="71"/>
      <c r="F32" s="71"/>
      <c r="G32" s="113">
        <v>26</v>
      </c>
      <c r="H32" s="114">
        <v>949.45023051493388</v>
      </c>
      <c r="I32" s="114"/>
      <c r="J32" s="115">
        <v>24.736704961737942</v>
      </c>
      <c r="K32" s="115">
        <v>1647.4411321912705</v>
      </c>
      <c r="L32" s="115"/>
      <c r="M32" s="115">
        <v>16.506341917164249</v>
      </c>
      <c r="N32" s="114">
        <v>383.94963784923902</v>
      </c>
      <c r="O32" s="114">
        <v>0</v>
      </c>
      <c r="P32" s="122">
        <v>488.66386771627555</v>
      </c>
      <c r="Q32" s="122">
        <v>378.01527463369234</v>
      </c>
      <c r="R32" s="122">
        <v>89.02025003040076</v>
      </c>
      <c r="S32" s="122">
        <v>12.943243158721231</v>
      </c>
      <c r="T32" s="123">
        <v>8.6850998934611958</v>
      </c>
      <c r="U32" s="122">
        <v>488.95197389269583</v>
      </c>
      <c r="V32" s="122">
        <v>378.01527463369234</v>
      </c>
      <c r="W32" s="122">
        <v>89.02025003040076</v>
      </c>
      <c r="X32" s="122">
        <v>13.199389363214568</v>
      </c>
      <c r="Y32" s="123">
        <v>8.717059865388137</v>
      </c>
      <c r="Z32" s="124"/>
      <c r="AA32" s="124">
        <v>4.4746000000000006</v>
      </c>
      <c r="AB32" s="123">
        <v>4.5900773278245213</v>
      </c>
      <c r="AC32" s="71"/>
      <c r="AD32" s="119">
        <v>51.149173058259585</v>
      </c>
      <c r="AE32" s="120"/>
      <c r="AF32" s="115"/>
      <c r="AG32" s="119"/>
      <c r="AH32" s="119"/>
      <c r="AI32" s="119"/>
      <c r="AJ32" s="119"/>
      <c r="AK32" s="119"/>
      <c r="AL32" s="119"/>
    </row>
    <row r="33" spans="1:38" ht="14.45" customHeight="1" x14ac:dyDescent="0.25">
      <c r="A33" s="146" t="s">
        <v>141</v>
      </c>
      <c r="B33" s="144"/>
      <c r="C33" s="106">
        <v>45</v>
      </c>
      <c r="D33" s="71"/>
      <c r="E33" s="71"/>
      <c r="F33" s="71"/>
      <c r="G33" s="113">
        <v>27</v>
      </c>
      <c r="H33" s="114">
        <v>931.61934970008554</v>
      </c>
      <c r="I33" s="114"/>
      <c r="J33" s="115">
        <v>25.423548627900328</v>
      </c>
      <c r="K33" s="115">
        <v>1715.0868521778589</v>
      </c>
      <c r="L33" s="115"/>
      <c r="M33" s="115">
        <v>17.332980088018193</v>
      </c>
      <c r="N33" s="114">
        <v>385.67885196602202</v>
      </c>
      <c r="O33" s="114">
        <v>0</v>
      </c>
      <c r="P33" s="122">
        <v>507.62218957974358</v>
      </c>
      <c r="Q33" s="122">
        <v>392.34150711375901</v>
      </c>
      <c r="R33" s="122">
        <v>92.788705819116657</v>
      </c>
      <c r="S33" s="122">
        <v>13.975743427053377</v>
      </c>
      <c r="T33" s="123">
        <v>8.5162332198145307</v>
      </c>
      <c r="U33" s="122">
        <v>507.84929652238668</v>
      </c>
      <c r="V33" s="122">
        <v>392.34150711375901</v>
      </c>
      <c r="W33" s="122">
        <v>92.788705819116657</v>
      </c>
      <c r="X33" s="122">
        <v>14.178347274522251</v>
      </c>
      <c r="Y33" s="123">
        <v>8.5407363149887416</v>
      </c>
      <c r="Z33" s="124"/>
      <c r="AA33" s="124">
        <v>4.7331000000000003</v>
      </c>
      <c r="AB33" s="123">
        <v>4.8295547720251966</v>
      </c>
      <c r="AC33" s="71"/>
      <c r="AD33" s="119">
        <v>52.030641832819654</v>
      </c>
      <c r="AE33" s="120"/>
      <c r="AF33" s="115"/>
      <c r="AG33" s="119"/>
      <c r="AH33" s="119"/>
      <c r="AI33" s="119"/>
      <c r="AJ33" s="119"/>
      <c r="AK33" s="119"/>
      <c r="AL33" s="119"/>
    </row>
    <row r="34" spans="1:38" ht="14.45" customHeight="1" x14ac:dyDescent="0.25">
      <c r="A34" s="143" t="s">
        <v>142</v>
      </c>
      <c r="B34" s="144"/>
      <c r="C34" s="106">
        <v>200</v>
      </c>
      <c r="D34" s="71"/>
      <c r="E34" s="71"/>
      <c r="F34" s="71"/>
      <c r="G34" s="113">
        <v>28</v>
      </c>
      <c r="H34" s="114">
        <v>914.06036643447419</v>
      </c>
      <c r="I34" s="114"/>
      <c r="J34" s="115">
        <v>26.080378193048119</v>
      </c>
      <c r="K34" s="115">
        <v>1780.0983874858548</v>
      </c>
      <c r="L34" s="115"/>
      <c r="M34" s="115">
        <v>18.08259762265839</v>
      </c>
      <c r="N34" s="114">
        <v>387.47453859401708</v>
      </c>
      <c r="O34" s="114">
        <v>0</v>
      </c>
      <c r="P34" s="122">
        <v>525.89819463488607</v>
      </c>
      <c r="Q34" s="122">
        <v>406.1296338129784</v>
      </c>
      <c r="R34" s="122">
        <v>96.456785244018533</v>
      </c>
      <c r="S34" s="122">
        <v>14.966281731982095</v>
      </c>
      <c r="T34" s="123">
        <v>8.3454938459070878</v>
      </c>
      <c r="U34" s="122">
        <v>526.07728259335147</v>
      </c>
      <c r="V34" s="122">
        <v>406.1296338129784</v>
      </c>
      <c r="W34" s="122">
        <v>96.456785244018533</v>
      </c>
      <c r="X34" s="122">
        <v>15.126583176451152</v>
      </c>
      <c r="Y34" s="123">
        <v>8.3642803599033737</v>
      </c>
      <c r="Z34" s="124"/>
      <c r="AA34" s="124">
        <v>4.9980000000000002</v>
      </c>
      <c r="AB34" s="123">
        <v>5.0785657978211116</v>
      </c>
      <c r="AC34" s="71"/>
      <c r="AD34" s="119">
        <v>52.89245163307114</v>
      </c>
      <c r="AE34" s="120"/>
      <c r="AF34" s="115"/>
      <c r="AG34" s="119"/>
      <c r="AH34" s="119"/>
      <c r="AI34" s="119"/>
      <c r="AJ34" s="119"/>
      <c r="AK34" s="119"/>
      <c r="AL34" s="119"/>
    </row>
    <row r="35" spans="1:38" ht="14.65" customHeight="1" x14ac:dyDescent="0.25">
      <c r="A35" s="146" t="s">
        <v>143</v>
      </c>
      <c r="B35" s="144"/>
      <c r="C35" s="106"/>
      <c r="D35" s="71"/>
      <c r="E35" s="71"/>
      <c r="F35" s="71"/>
      <c r="G35" s="113">
        <v>29</v>
      </c>
      <c r="H35" s="114">
        <v>896.82099754431022</v>
      </c>
      <c r="I35" s="114"/>
      <c r="J35" s="115">
        <v>26.708046459674076</v>
      </c>
      <c r="K35" s="115">
        <v>1842.4473482487165</v>
      </c>
      <c r="L35" s="115"/>
      <c r="M35" s="115">
        <v>18.754018520790193</v>
      </c>
      <c r="N35" s="114">
        <v>389.33280888102428</v>
      </c>
      <c r="O35" s="114">
        <v>0</v>
      </c>
      <c r="P35" s="122">
        <v>543.48202659208926</v>
      </c>
      <c r="Q35" s="122">
        <v>419.37941685970219</v>
      </c>
      <c r="R35" s="122">
        <v>100.02412248948093</v>
      </c>
      <c r="S35" s="122">
        <v>15.90725046018712</v>
      </c>
      <c r="T35" s="123">
        <v>8.1712367827189887</v>
      </c>
      <c r="U35" s="122">
        <v>543.62329346762237</v>
      </c>
      <c r="V35" s="122">
        <v>419.37941685970219</v>
      </c>
      <c r="W35" s="122">
        <v>100.02412248948093</v>
      </c>
      <c r="X35" s="122">
        <v>16.034113442140359</v>
      </c>
      <c r="Y35" s="123">
        <v>8.1856406762988474</v>
      </c>
      <c r="Z35" s="124"/>
      <c r="AA35" s="124">
        <v>5.2693000000000003</v>
      </c>
      <c r="AB35" s="123">
        <v>5.336594210978558</v>
      </c>
      <c r="AC35" s="71"/>
      <c r="AD35" s="119">
        <v>53.735142630278311</v>
      </c>
      <c r="AE35" s="120"/>
      <c r="AF35" s="115"/>
      <c r="AG35" s="119"/>
      <c r="AH35" s="119"/>
      <c r="AI35" s="119"/>
      <c r="AJ35" s="119"/>
      <c r="AK35" s="119"/>
      <c r="AL35" s="119"/>
    </row>
    <row r="36" spans="1:38" x14ac:dyDescent="0.25">
      <c r="A36" s="146" t="s">
        <v>144</v>
      </c>
      <c r="B36" s="144"/>
      <c r="C36" s="106"/>
      <c r="D36" s="71"/>
      <c r="E36" s="71"/>
      <c r="F36" s="71"/>
      <c r="G36" s="113">
        <v>30</v>
      </c>
      <c r="H36" s="114">
        <v>879.93934782514532</v>
      </c>
      <c r="I36" s="114"/>
      <c r="J36" s="115">
        <v>27.307445813107964</v>
      </c>
      <c r="K36" s="115">
        <v>1902.1428894409974</v>
      </c>
      <c r="L36" s="115"/>
      <c r="M36" s="115">
        <v>19.347953020774924</v>
      </c>
      <c r="N36" s="114">
        <v>391.24755922483968</v>
      </c>
      <c r="O36" s="114">
        <v>0</v>
      </c>
      <c r="P36" s="122">
        <v>560.37279975966044</v>
      </c>
      <c r="Q36" s="122">
        <v>432.09681575713887</v>
      </c>
      <c r="R36" s="122">
        <v>103.49017536506157</v>
      </c>
      <c r="S36" s="122">
        <v>16.792665984328977</v>
      </c>
      <c r="T36" s="123">
        <v>7.9931426531309882</v>
      </c>
      <c r="U36" s="122">
        <v>560.48426393322018</v>
      </c>
      <c r="V36" s="122">
        <v>432.09681575713887</v>
      </c>
      <c r="W36" s="122">
        <v>103.49017536506157</v>
      </c>
      <c r="X36" s="122">
        <v>16.893086313380749</v>
      </c>
      <c r="Y36" s="123">
        <v>8.0041864976389405</v>
      </c>
      <c r="Z36" s="124"/>
      <c r="AA36" s="124">
        <v>5.5470000000000006</v>
      </c>
      <c r="AB36" s="123">
        <v>5.6032088498308159</v>
      </c>
      <c r="AC36" s="71"/>
      <c r="AD36" s="119">
        <v>54.559403787416585</v>
      </c>
      <c r="AE36" s="120"/>
      <c r="AF36" s="115"/>
      <c r="AG36" s="119"/>
      <c r="AH36" s="119"/>
      <c r="AI36" s="119"/>
      <c r="AJ36" s="119"/>
      <c r="AK36" s="119"/>
      <c r="AL36" s="119"/>
    </row>
    <row r="37" spans="1:38" ht="14.45" customHeight="1" x14ac:dyDescent="0.25">
      <c r="A37" s="146" t="s">
        <v>195</v>
      </c>
      <c r="B37" s="144"/>
      <c r="C37" s="106"/>
      <c r="D37" s="71"/>
      <c r="E37" s="71"/>
      <c r="F37" s="71"/>
      <c r="G37" s="113">
        <v>31</v>
      </c>
      <c r="H37" s="114">
        <v>863.44472088768634</v>
      </c>
      <c r="I37" s="114"/>
      <c r="J37" s="115">
        <v>27.879496169946542</v>
      </c>
      <c r="K37" s="115">
        <v>1959.2285111798044</v>
      </c>
      <c r="L37" s="115"/>
      <c r="M37" s="115">
        <v>19.866718765248748</v>
      </c>
      <c r="N37" s="114">
        <v>392.45191450635741</v>
      </c>
      <c r="O37" s="114">
        <v>0</v>
      </c>
      <c r="P37" s="122">
        <v>576.51693889276601</v>
      </c>
      <c r="Q37" s="122">
        <v>444.25020212530922</v>
      </c>
      <c r="R37" s="122">
        <v>106.83714393507695</v>
      </c>
      <c r="S37" s="122">
        <v>17.617824074715863</v>
      </c>
      <c r="T37" s="123">
        <v>7.8117687576640185</v>
      </c>
      <c r="U37" s="122">
        <v>576.60490937274926</v>
      </c>
      <c r="V37" s="122">
        <v>444.25020212530922</v>
      </c>
      <c r="W37" s="122">
        <v>106.83714393507695</v>
      </c>
      <c r="X37" s="122">
        <v>17.697326845470617</v>
      </c>
      <c r="Y37" s="123">
        <v>7.8202364668925188</v>
      </c>
      <c r="Z37" s="124"/>
      <c r="AA37" s="124">
        <v>5.8311000000000002</v>
      </c>
      <c r="AB37" s="123">
        <v>5.8780495778813693</v>
      </c>
      <c r="AC37" s="71"/>
      <c r="AD37" s="119">
        <v>55.366088379640097</v>
      </c>
      <c r="AE37" s="120"/>
      <c r="AF37" s="115"/>
      <c r="AG37" s="119"/>
      <c r="AH37" s="119"/>
      <c r="AI37" s="119"/>
      <c r="AJ37" s="119"/>
      <c r="AK37" s="119"/>
      <c r="AL37" s="119"/>
    </row>
    <row r="38" spans="1:38" ht="14.45" customHeight="1" x14ac:dyDescent="0.25">
      <c r="A38" s="143" t="s">
        <v>196</v>
      </c>
      <c r="B38" s="144"/>
      <c r="C38" s="106">
        <v>2.1</v>
      </c>
      <c r="D38" s="71"/>
      <c r="E38" s="71"/>
      <c r="F38" s="71"/>
      <c r="G38" s="113">
        <v>32</v>
      </c>
      <c r="H38" s="114">
        <v>847.35850181968692</v>
      </c>
      <c r="I38" s="114"/>
      <c r="J38" s="115">
        <v>28.425134789638527</v>
      </c>
      <c r="K38" s="115">
        <v>2013.7789005678778</v>
      </c>
      <c r="L38" s="115"/>
      <c r="M38" s="115">
        <v>20.31395562162529</v>
      </c>
      <c r="N38" s="114">
        <v>393.63418956679811</v>
      </c>
      <c r="O38" s="114">
        <v>0</v>
      </c>
      <c r="P38" s="122">
        <v>591.95424955523288</v>
      </c>
      <c r="Q38" s="122">
        <v>455.8622926714711</v>
      </c>
      <c r="R38" s="122">
        <v>110.08573135033976</v>
      </c>
      <c r="S38" s="122">
        <v>18.379696166588346</v>
      </c>
      <c r="T38" s="123">
        <v>7.6265293668337222</v>
      </c>
      <c r="U38" s="122">
        <v>592.02369331891202</v>
      </c>
      <c r="V38" s="122">
        <v>455.8622926714711</v>
      </c>
      <c r="W38" s="122">
        <v>110.08573135033976</v>
      </c>
      <c r="X38" s="122">
        <v>18.442647373499462</v>
      </c>
      <c r="Y38" s="123">
        <v>7.6330219236016799</v>
      </c>
      <c r="Z38" s="124"/>
      <c r="AA38" s="124">
        <v>6.1216000000000008</v>
      </c>
      <c r="AB38" s="123">
        <v>6.1608155838426413</v>
      </c>
      <c r="AC38" s="71"/>
      <c r="AD38" s="119">
        <v>56.156224628953822</v>
      </c>
      <c r="AE38" s="120"/>
      <c r="AF38" s="115"/>
      <c r="AG38" s="119"/>
      <c r="AH38" s="119"/>
      <c r="AI38" s="119"/>
      <c r="AJ38" s="119"/>
      <c r="AK38" s="119"/>
      <c r="AL38" s="119"/>
    </row>
    <row r="39" spans="1:38" ht="14.45" customHeight="1" x14ac:dyDescent="0.25">
      <c r="A39" s="146" t="s">
        <v>197</v>
      </c>
      <c r="B39" s="144"/>
      <c r="C39" s="106"/>
      <c r="D39" s="71"/>
      <c r="E39" s="71"/>
      <c r="F39" s="71"/>
      <c r="G39" s="113">
        <v>33</v>
      </c>
      <c r="H39" s="114">
        <v>831.69506395702774</v>
      </c>
      <c r="I39" s="114"/>
      <c r="J39" s="115">
        <v>28.945307688269086</v>
      </c>
      <c r="K39" s="115">
        <v>2065.8968701754443</v>
      </c>
      <c r="L39" s="115"/>
      <c r="M39" s="115">
        <v>20.694349220137291</v>
      </c>
      <c r="N39" s="114">
        <v>394.78322153582741</v>
      </c>
      <c r="O39" s="114">
        <v>0</v>
      </c>
      <c r="P39" s="122">
        <v>606.70757132935455</v>
      </c>
      <c r="Q39" s="122">
        <v>466.96251007218956</v>
      </c>
      <c r="R39" s="122">
        <v>113.2311781277144</v>
      </c>
      <c r="S39" s="122">
        <v>19.076822193976174</v>
      </c>
      <c r="T39" s="123">
        <v>7.4370609354743991</v>
      </c>
      <c r="U39" s="122">
        <v>606.76240078848912</v>
      </c>
      <c r="V39" s="122">
        <v>466.96251007218956</v>
      </c>
      <c r="W39" s="122">
        <v>113.2311781277144</v>
      </c>
      <c r="X39" s="122">
        <v>19.126673492940078</v>
      </c>
      <c r="Y39" s="123">
        <v>7.4420390956450522</v>
      </c>
      <c r="Z39" s="124"/>
      <c r="AA39" s="124">
        <v>6.4185000000000008</v>
      </c>
      <c r="AB39" s="123">
        <v>6.4512556090068607</v>
      </c>
      <c r="AC39" s="71"/>
      <c r="AD39" s="119">
        <v>56.931022156821349</v>
      </c>
      <c r="AE39" s="120"/>
      <c r="AF39" s="115"/>
      <c r="AG39" s="119"/>
      <c r="AH39" s="119"/>
      <c r="AI39" s="119"/>
      <c r="AJ39" s="119"/>
      <c r="AK39" s="119"/>
      <c r="AL39" s="119"/>
    </row>
    <row r="40" spans="1:38" ht="14.45" customHeight="1" x14ac:dyDescent="0.25">
      <c r="A40" s="146" t="s">
        <v>198</v>
      </c>
      <c r="B40" s="144"/>
      <c r="C40" s="106">
        <v>12</v>
      </c>
      <c r="D40" s="71"/>
      <c r="E40" s="71"/>
      <c r="F40" s="71"/>
      <c r="G40" s="113">
        <v>34</v>
      </c>
      <c r="H40" s="114">
        <v>816.46266322315932</v>
      </c>
      <c r="I40" s="114"/>
      <c r="J40" s="115">
        <v>29.440962431231064</v>
      </c>
      <c r="K40" s="115">
        <v>2115.7104365479186</v>
      </c>
      <c r="L40" s="115"/>
      <c r="M40" s="115">
        <v>21.013374013868944</v>
      </c>
      <c r="N40" s="114">
        <v>395.88663777282773</v>
      </c>
      <c r="O40" s="114">
        <v>0</v>
      </c>
      <c r="P40" s="122">
        <v>620.82212566304122</v>
      </c>
      <c r="Q40" s="122">
        <v>477.58443456576464</v>
      </c>
      <c r="R40" s="122">
        <v>116.2833361566922</v>
      </c>
      <c r="S40" s="122">
        <v>19.709169950732679</v>
      </c>
      <c r="T40" s="123">
        <v>7.2451849898516469</v>
      </c>
      <c r="U40" s="122">
        <v>620.86542392377828</v>
      </c>
      <c r="V40" s="122">
        <v>477.58443456576464</v>
      </c>
      <c r="W40" s="122">
        <v>116.2833361566922</v>
      </c>
      <c r="X40" s="122">
        <v>19.748651190237926</v>
      </c>
      <c r="Y40" s="123">
        <v>7.2490020110834994</v>
      </c>
      <c r="Z40" s="124"/>
      <c r="AA40" s="124">
        <v>6.7218</v>
      </c>
      <c r="AB40" s="123">
        <v>6.7491597844600646</v>
      </c>
      <c r="AC40" s="71"/>
      <c r="AD40" s="119">
        <v>57.69187495787201</v>
      </c>
      <c r="AE40" s="120"/>
      <c r="AF40" s="115"/>
      <c r="AG40" s="119"/>
      <c r="AH40" s="119"/>
      <c r="AI40" s="119"/>
      <c r="AJ40" s="119"/>
      <c r="AK40" s="119"/>
      <c r="AL40" s="119"/>
    </row>
    <row r="41" spans="1:38" ht="14.45" customHeight="1" x14ac:dyDescent="0.25">
      <c r="A41" s="146" t="s">
        <v>199</v>
      </c>
      <c r="B41" s="144"/>
      <c r="C41" s="147">
        <v>19.602122070312497</v>
      </c>
      <c r="D41" s="71"/>
      <c r="E41" s="71"/>
      <c r="F41" s="71"/>
      <c r="G41" s="113">
        <v>35</v>
      </c>
      <c r="H41" s="114">
        <v>801.66429356094511</v>
      </c>
      <c r="I41" s="114"/>
      <c r="J41" s="115">
        <v>29.913042113155392</v>
      </c>
      <c r="K41" s="115">
        <v>2163.3700715882319</v>
      </c>
      <c r="L41" s="115"/>
      <c r="M41" s="115">
        <v>21.277062854996728</v>
      </c>
      <c r="N41" s="114">
        <v>396.93111655441874</v>
      </c>
      <c r="O41" s="114">
        <v>0</v>
      </c>
      <c r="P41" s="122">
        <v>634.34372991469661</v>
      </c>
      <c r="Q41" s="122">
        <v>487.76511124056799</v>
      </c>
      <c r="R41" s="122">
        <v>119.24647617176981</v>
      </c>
      <c r="S41" s="122">
        <v>20.277973330837266</v>
      </c>
      <c r="T41" s="123">
        <v>7.054169171521564</v>
      </c>
      <c r="U41" s="122">
        <v>634.37792749510334</v>
      </c>
      <c r="V41" s="122">
        <v>487.76511124056799</v>
      </c>
      <c r="W41" s="122">
        <v>119.24647617176981</v>
      </c>
      <c r="X41" s="122">
        <v>20.309244183400992</v>
      </c>
      <c r="Y41" s="123">
        <v>7.0570958993645796</v>
      </c>
      <c r="Z41" s="124"/>
      <c r="AA41" s="124">
        <v>7.0315000000000012</v>
      </c>
      <c r="AB41" s="123">
        <v>7.0543528129501256</v>
      </c>
      <c r="AC41" s="71"/>
      <c r="AD41" s="119">
        <v>58.440361564330587</v>
      </c>
      <c r="AE41" s="120"/>
      <c r="AF41" s="115"/>
      <c r="AG41" s="119"/>
      <c r="AH41" s="119"/>
      <c r="AI41" s="119"/>
      <c r="AJ41" s="119"/>
      <c r="AK41" s="119"/>
      <c r="AL41" s="119"/>
    </row>
    <row r="42" spans="1:38" ht="14.45" customHeight="1" x14ac:dyDescent="0.25">
      <c r="A42" s="143" t="s">
        <v>200</v>
      </c>
      <c r="B42" s="144"/>
      <c r="C42" s="147">
        <v>25.203704833984375</v>
      </c>
      <c r="D42" s="71"/>
      <c r="E42" s="71"/>
      <c r="F42" s="71"/>
      <c r="G42" s="113">
        <v>36</v>
      </c>
      <c r="H42" s="114">
        <v>787.29848560180869</v>
      </c>
      <c r="I42" s="114"/>
      <c r="J42" s="115">
        <v>30.362480360272311</v>
      </c>
      <c r="K42" s="115">
        <v>2209.0461504884729</v>
      </c>
      <c r="L42" s="115"/>
      <c r="M42" s="115">
        <v>21.4918068926148</v>
      </c>
      <c r="N42" s="114">
        <v>397.9026838550563</v>
      </c>
      <c r="O42" s="114">
        <v>0</v>
      </c>
      <c r="P42" s="122">
        <v>647.32742111623702</v>
      </c>
      <c r="Q42" s="122">
        <v>497.54586408143439</v>
      </c>
      <c r="R42" s="122">
        <v>122.12924433486735</v>
      </c>
      <c r="S42" s="122">
        <v>20.785560138836018</v>
      </c>
      <c r="T42" s="123">
        <v>6.8667525610993003</v>
      </c>
      <c r="U42" s="122">
        <v>647.35443471813528</v>
      </c>
      <c r="V42" s="122">
        <v>497.54586408143439</v>
      </c>
      <c r="W42" s="122">
        <v>122.12924433486735</v>
      </c>
      <c r="X42" s="122">
        <v>20.810329643218964</v>
      </c>
      <c r="Y42" s="123">
        <v>6.8689966586145683</v>
      </c>
      <c r="Z42" s="124"/>
      <c r="AA42" s="124">
        <v>7.3475999999999999</v>
      </c>
      <c r="AB42" s="123">
        <v>7.3666882739041935</v>
      </c>
      <c r="AC42" s="71"/>
      <c r="AD42" s="119">
        <v>59.178243015960447</v>
      </c>
      <c r="AE42" s="120"/>
      <c r="AF42" s="115"/>
      <c r="AG42" s="119"/>
      <c r="AH42" s="119"/>
      <c r="AI42" s="119"/>
      <c r="AJ42" s="119"/>
      <c r="AK42" s="119"/>
      <c r="AL42" s="119"/>
    </row>
    <row r="43" spans="1:38" x14ac:dyDescent="0.25">
      <c r="A43" s="71"/>
      <c r="B43" s="71"/>
      <c r="C43" s="71"/>
      <c r="D43" s="71"/>
      <c r="E43" s="71"/>
      <c r="F43" s="71"/>
      <c r="G43" s="113">
        <v>37</v>
      </c>
      <c r="H43" s="114">
        <v>773.36003778078566</v>
      </c>
      <c r="I43" s="114"/>
      <c r="J43" s="115">
        <v>30.790197213134437</v>
      </c>
      <c r="K43" s="115">
        <v>2252.9266121372088</v>
      </c>
      <c r="L43" s="115"/>
      <c r="M43" s="115">
        <v>21.664187086738153</v>
      </c>
      <c r="N43" s="114">
        <v>398.78704895515295</v>
      </c>
      <c r="O43" s="114">
        <v>0</v>
      </c>
      <c r="P43" s="122">
        <v>659.8318378324476</v>
      </c>
      <c r="Q43" s="122">
        <v>506.97172093913008</v>
      </c>
      <c r="R43" s="122">
        <v>124.93954793349853</v>
      </c>
      <c r="S43" s="122">
        <v>21.235178281713626</v>
      </c>
      <c r="T43" s="123">
        <v>6.6853906781053958</v>
      </c>
      <c r="U43" s="122">
        <v>659.85317940704783</v>
      </c>
      <c r="V43" s="122">
        <v>506.97172093913008</v>
      </c>
      <c r="W43" s="122">
        <v>124.93954793349853</v>
      </c>
      <c r="X43" s="122">
        <v>21.254799167275785</v>
      </c>
      <c r="Y43" s="123">
        <v>6.6871113671434426</v>
      </c>
      <c r="Z43" s="124"/>
      <c r="AA43" s="124">
        <v>7.6700999999999997</v>
      </c>
      <c r="AB43" s="123">
        <v>7.6860438665794319</v>
      </c>
      <c r="AC43" s="71"/>
      <c r="AD43" s="119">
        <v>59.907459183625619</v>
      </c>
      <c r="AE43" s="120"/>
      <c r="AF43" s="115"/>
      <c r="AG43" s="119"/>
      <c r="AH43" s="119"/>
      <c r="AI43" s="119"/>
      <c r="AJ43" s="119"/>
      <c r="AK43" s="119"/>
      <c r="AL43" s="119"/>
    </row>
    <row r="44" spans="1:38" ht="14.45" customHeight="1" x14ac:dyDescent="0.25">
      <c r="A44" s="141" t="s">
        <v>201</v>
      </c>
      <c r="B44" s="142"/>
      <c r="C44" s="145"/>
      <c r="D44" s="71"/>
      <c r="E44" s="71"/>
      <c r="F44" s="71"/>
      <c r="G44" s="113">
        <v>38</v>
      </c>
      <c r="H44" s="114">
        <v>759.84067465802354</v>
      </c>
      <c r="I44" s="114"/>
      <c r="J44" s="115">
        <v>31.19709576703702</v>
      </c>
      <c r="K44" s="115">
        <v>2295.2148415691386</v>
      </c>
      <c r="L44" s="115"/>
      <c r="M44" s="115">
        <v>21.800836775451209</v>
      </c>
      <c r="N44" s="114">
        <v>399.569976716204</v>
      </c>
      <c r="O44" s="114">
        <v>0</v>
      </c>
      <c r="P44" s="122">
        <v>671.92108384834819</v>
      </c>
      <c r="Q44" s="122">
        <v>516.09095084284036</v>
      </c>
      <c r="R44" s="122">
        <v>127.68698039080878</v>
      </c>
      <c r="S44" s="122">
        <v>21.630827248745828</v>
      </c>
      <c r="T44" s="123">
        <v>6.5123253659532212</v>
      </c>
      <c r="U44" s="122">
        <v>671.93794637658004</v>
      </c>
      <c r="V44" s="122">
        <v>516.09095084284036</v>
      </c>
      <c r="W44" s="122">
        <v>127.68698039080878</v>
      </c>
      <c r="X44" s="122">
        <v>21.64637041467455</v>
      </c>
      <c r="Y44" s="123">
        <v>6.5136447282563656</v>
      </c>
      <c r="Z44" s="124"/>
      <c r="AA44" s="124">
        <v>7.9990000000000006</v>
      </c>
      <c r="AB44" s="123">
        <v>8.0123174368085159</v>
      </c>
      <c r="AC44" s="71"/>
      <c r="AD44" s="119">
        <v>60.630123923234294</v>
      </c>
      <c r="AE44" s="120"/>
      <c r="AF44" s="115"/>
      <c r="AG44" s="119"/>
      <c r="AH44" s="119"/>
      <c r="AI44" s="119"/>
      <c r="AJ44" s="119"/>
      <c r="AK44" s="119"/>
      <c r="AL44" s="119"/>
    </row>
    <row r="45" spans="1:38" ht="14.45" customHeight="1" x14ac:dyDescent="0.25">
      <c r="A45" s="143" t="s">
        <v>202</v>
      </c>
      <c r="B45" s="144"/>
      <c r="C45" s="106"/>
      <c r="D45" s="71"/>
      <c r="E45" s="71"/>
      <c r="F45" s="71"/>
      <c r="G45" s="113">
        <v>39</v>
      </c>
      <c r="H45" s="114">
        <v>746.72963139019339</v>
      </c>
      <c r="I45" s="114"/>
      <c r="J45" s="115">
        <v>31.58405946406851</v>
      </c>
      <c r="K45" s="115">
        <v>2336.1277789449282</v>
      </c>
      <c r="L45" s="115"/>
      <c r="M45" s="115">
        <v>21.908333453999745</v>
      </c>
      <c r="N45" s="114">
        <v>400.23768856417701</v>
      </c>
      <c r="O45" s="114">
        <v>0</v>
      </c>
      <c r="P45" s="122">
        <v>683.66285249730004</v>
      </c>
      <c r="Q45" s="122">
        <v>524.95464105663484</v>
      </c>
      <c r="R45" s="122">
        <v>130.38148476110001</v>
      </c>
      <c r="S45" s="122">
        <v>21.97709999116282</v>
      </c>
      <c r="T45" s="123">
        <v>6.3496266884023367</v>
      </c>
      <c r="U45" s="122">
        <v>683.67617749807857</v>
      </c>
      <c r="V45" s="122">
        <v>524.95464105663484</v>
      </c>
      <c r="W45" s="122">
        <v>130.38148476110001</v>
      </c>
      <c r="X45" s="122">
        <v>21.989413350643495</v>
      </c>
      <c r="Y45" s="123">
        <v>6.3506383297001845</v>
      </c>
      <c r="Z45" s="124"/>
      <c r="AA45" s="124">
        <v>8.3343000000000007</v>
      </c>
      <c r="AB45" s="123">
        <v>8.3454236582585057</v>
      </c>
      <c r="AC45" s="71"/>
      <c r="AD45" s="119">
        <v>61.348519465955974</v>
      </c>
      <c r="AE45" s="120"/>
      <c r="AF45" s="115"/>
      <c r="AG45" s="119"/>
      <c r="AH45" s="119"/>
      <c r="AI45" s="119"/>
      <c r="AJ45" s="119"/>
      <c r="AK45" s="119"/>
      <c r="AL45" s="119"/>
    </row>
    <row r="46" spans="1:38" ht="14.45" customHeight="1" x14ac:dyDescent="0.25">
      <c r="A46" s="143" t="s">
        <v>203</v>
      </c>
      <c r="B46" s="144"/>
      <c r="C46" s="106"/>
      <c r="D46" s="71"/>
      <c r="E46" s="71"/>
      <c r="F46" s="71"/>
      <c r="G46" s="113">
        <v>40</v>
      </c>
      <c r="H46" s="114">
        <v>734.01416630161236</v>
      </c>
      <c r="I46" s="114"/>
      <c r="J46" s="115">
        <v>31.951949944964998</v>
      </c>
      <c r="K46" s="115">
        <v>2375.8942556055622</v>
      </c>
      <c r="L46" s="115"/>
      <c r="M46" s="115">
        <v>21.99311712822222</v>
      </c>
      <c r="N46" s="114">
        <v>400.77727812821706</v>
      </c>
      <c r="O46" s="114">
        <v>0</v>
      </c>
      <c r="P46" s="122">
        <v>695.12847596996994</v>
      </c>
      <c r="Q46" s="122">
        <v>533.61631533987679</v>
      </c>
      <c r="R46" s="122">
        <v>133.03390621216238</v>
      </c>
      <c r="S46" s="122">
        <v>22.279038713261968</v>
      </c>
      <c r="T46" s="123">
        <v>6.1992157046687542</v>
      </c>
      <c r="U46" s="122">
        <v>695.13900665698145</v>
      </c>
      <c r="V46" s="122">
        <v>533.61631533987679</v>
      </c>
      <c r="W46" s="122">
        <v>133.03390621216238</v>
      </c>
      <c r="X46" s="122">
        <v>22.288793707651948</v>
      </c>
      <c r="Y46" s="123">
        <v>6.1999913972903782</v>
      </c>
      <c r="Z46" s="124"/>
      <c r="AA46" s="124">
        <v>8.6760000000000002</v>
      </c>
      <c r="AB46" s="123">
        <v>8.6852912603852488</v>
      </c>
      <c r="AC46" s="71"/>
      <c r="AD46" s="119">
        <v>62.065090383628394</v>
      </c>
      <c r="AE46" s="120"/>
      <c r="AF46" s="115"/>
      <c r="AG46" s="119"/>
      <c r="AH46" s="119"/>
      <c r="AI46" s="119"/>
      <c r="AJ46" s="119"/>
      <c r="AK46" s="119"/>
      <c r="AL46" s="119"/>
    </row>
    <row r="47" spans="1:38" ht="14.45" customHeight="1" x14ac:dyDescent="0.25">
      <c r="A47" s="143" t="s">
        <v>204</v>
      </c>
      <c r="B47" s="144"/>
      <c r="C47" s="106"/>
      <c r="D47" s="71"/>
      <c r="E47" s="71"/>
      <c r="F47" s="71"/>
      <c r="G47" s="113">
        <v>41</v>
      </c>
      <c r="H47" s="114">
        <v>721.68021170768441</v>
      </c>
      <c r="I47" s="114"/>
      <c r="J47" s="115">
        <v>32.301605381192637</v>
      </c>
      <c r="K47" s="115">
        <v>2414.3536911562232</v>
      </c>
      <c r="L47" s="115"/>
      <c r="M47" s="115">
        <v>22.059217198993466</v>
      </c>
      <c r="N47" s="114">
        <v>401.97415267944427</v>
      </c>
      <c r="O47" s="114">
        <v>0</v>
      </c>
      <c r="P47" s="122">
        <v>706.26598026367014</v>
      </c>
      <c r="Q47" s="122">
        <v>542.04355515330917</v>
      </c>
      <c r="R47" s="122">
        <v>135.61783942045557</v>
      </c>
      <c r="S47" s="122">
        <v>22.541708490315994</v>
      </c>
      <c r="T47" s="123">
        <v>6.0628771995894324</v>
      </c>
      <c r="U47" s="122">
        <v>706.27430342105026</v>
      </c>
      <c r="V47" s="122">
        <v>542.04355515330917</v>
      </c>
      <c r="W47" s="122">
        <v>135.61783942045557</v>
      </c>
      <c r="X47" s="122">
        <v>22.549436871923561</v>
      </c>
      <c r="Y47" s="123">
        <v>6.0634719753619306</v>
      </c>
      <c r="Z47" s="124"/>
      <c r="AA47" s="124">
        <v>9.0241000000000007</v>
      </c>
      <c r="AB47" s="123">
        <v>9.0318607130262638</v>
      </c>
      <c r="AC47" s="71"/>
      <c r="AD47" s="119">
        <v>62.777230093703821</v>
      </c>
      <c r="AE47" s="120"/>
      <c r="AF47" s="115"/>
      <c r="AG47" s="119"/>
      <c r="AH47" s="119"/>
      <c r="AI47" s="119"/>
      <c r="AJ47" s="119"/>
      <c r="AK47" s="119"/>
      <c r="AL47" s="119"/>
    </row>
    <row r="48" spans="1:38" ht="14.45" customHeight="1" x14ac:dyDescent="0.25">
      <c r="A48" s="143" t="s">
        <v>205</v>
      </c>
      <c r="B48" s="144"/>
      <c r="C48" s="106"/>
      <c r="D48" s="71"/>
      <c r="E48" s="71"/>
      <c r="F48" s="71"/>
      <c r="G48" s="113">
        <v>42</v>
      </c>
      <c r="H48" s="114">
        <v>709.72076739429247</v>
      </c>
      <c r="I48" s="114"/>
      <c r="J48" s="115">
        <v>32.633839218246081</v>
      </c>
      <c r="K48" s="115">
        <v>2450.7870153440044</v>
      </c>
      <c r="L48" s="115"/>
      <c r="M48" s="115">
        <v>22.0910847299502</v>
      </c>
      <c r="N48" s="114">
        <v>402.80836262306104</v>
      </c>
      <c r="O48" s="114">
        <v>0</v>
      </c>
      <c r="P48" s="122">
        <v>716.72866362768127</v>
      </c>
      <c r="Q48" s="122">
        <v>549.98170154300874</v>
      </c>
      <c r="R48" s="122">
        <v>138.04269813271341</v>
      </c>
      <c r="S48" s="122">
        <v>22.765261755864127</v>
      </c>
      <c r="T48" s="123">
        <v>5.9390021960950214</v>
      </c>
      <c r="U48" s="122">
        <v>716.73524261200089</v>
      </c>
      <c r="V48" s="122">
        <v>549.98170154300874</v>
      </c>
      <c r="W48" s="122">
        <v>138.04269813271341</v>
      </c>
      <c r="X48" s="122">
        <v>22.771384685129561</v>
      </c>
      <c r="Y48" s="123">
        <v>5.9394582511491443</v>
      </c>
      <c r="Z48" s="124"/>
      <c r="AA48" s="124">
        <v>9.3786000000000005</v>
      </c>
      <c r="AB48" s="123">
        <v>9.38508229241015</v>
      </c>
      <c r="AC48" s="71"/>
      <c r="AD48" s="119">
        <v>63.474848280629338</v>
      </c>
      <c r="AE48" s="120"/>
      <c r="AF48" s="115"/>
      <c r="AG48" s="119"/>
      <c r="AH48" s="119"/>
      <c r="AI48" s="119"/>
      <c r="AJ48" s="119"/>
      <c r="AK48" s="119"/>
      <c r="AL48" s="119"/>
    </row>
    <row r="49" spans="1:38" x14ac:dyDescent="0.25">
      <c r="A49" s="71"/>
      <c r="B49" s="71"/>
      <c r="C49" s="71"/>
      <c r="D49" s="71"/>
      <c r="E49" s="71"/>
      <c r="F49" s="71"/>
      <c r="G49" s="113">
        <v>43</v>
      </c>
      <c r="H49" s="114">
        <v>698.12791542649211</v>
      </c>
      <c r="I49" s="114"/>
      <c r="J49" s="115">
        <v>32.949439270278852</v>
      </c>
      <c r="K49" s="115">
        <v>2485.4683366683103</v>
      </c>
      <c r="L49" s="115"/>
      <c r="M49" s="115">
        <v>22.088956538383503</v>
      </c>
      <c r="N49" s="114">
        <v>403.48917136463115</v>
      </c>
      <c r="O49" s="114">
        <v>0</v>
      </c>
      <c r="P49" s="122">
        <v>726.71352845972137</v>
      </c>
      <c r="Q49" s="122">
        <v>557.51930803354674</v>
      </c>
      <c r="R49" s="122">
        <v>140.43066723012015</v>
      </c>
      <c r="S49" s="122">
        <v>22.94986092142565</v>
      </c>
      <c r="T49" s="123">
        <v>5.8136922746288864</v>
      </c>
      <c r="U49" s="122">
        <v>726.71872921783029</v>
      </c>
      <c r="V49" s="122">
        <v>557.51930803354674</v>
      </c>
      <c r="W49" s="122">
        <v>140.43066723012015</v>
      </c>
      <c r="X49" s="122">
        <v>22.954711990843307</v>
      </c>
      <c r="Y49" s="123">
        <v>5.8140419633201184</v>
      </c>
      <c r="Z49" s="124"/>
      <c r="AA49" s="124">
        <v>9.7394999999999996</v>
      </c>
      <c r="AB49" s="123">
        <v>9.7449144657518545</v>
      </c>
      <c r="AC49" s="71"/>
      <c r="AD49" s="119">
        <v>64.160831613622776</v>
      </c>
      <c r="AE49" s="120"/>
      <c r="AF49" s="115"/>
      <c r="AG49" s="119"/>
      <c r="AH49" s="119"/>
      <c r="AI49" s="119"/>
      <c r="AJ49" s="119"/>
      <c r="AK49" s="119"/>
      <c r="AL49" s="119"/>
    </row>
    <row r="50" spans="1:38" ht="14.45" customHeight="1" x14ac:dyDescent="0.25">
      <c r="A50" s="141" t="s">
        <v>56</v>
      </c>
      <c r="B50" s="142"/>
      <c r="C50" s="145"/>
      <c r="D50" s="71"/>
      <c r="E50" s="71"/>
      <c r="F50" s="71"/>
      <c r="G50" s="113">
        <v>44</v>
      </c>
      <c r="H50" s="114">
        <v>686.89263702552569</v>
      </c>
      <c r="I50" s="114"/>
      <c r="J50" s="115">
        <v>33.249167114084756</v>
      </c>
      <c r="K50" s="115">
        <v>2518.4786443540961</v>
      </c>
      <c r="L50" s="115"/>
      <c r="M50" s="115">
        <v>22.057408545506593</v>
      </c>
      <c r="N50" s="114">
        <v>404.15851346541376</v>
      </c>
      <c r="O50" s="114">
        <v>0</v>
      </c>
      <c r="P50" s="122">
        <v>736.17807259468896</v>
      </c>
      <c r="Q50" s="122">
        <v>564.69021319888748</v>
      </c>
      <c r="R50" s="122">
        <v>142.71552180815567</v>
      </c>
      <c r="S50" s="122">
        <v>23.096688196861503</v>
      </c>
      <c r="T50" s="123">
        <v>5.6756493907843151</v>
      </c>
      <c r="U50" s="122">
        <v>736.18218418179947</v>
      </c>
      <c r="V50" s="122">
        <v>564.69021319888748</v>
      </c>
      <c r="W50" s="122">
        <v>142.71552180815567</v>
      </c>
      <c r="X50" s="122">
        <v>23.100531653515208</v>
      </c>
      <c r="Y50" s="123">
        <v>5.6759175212411526</v>
      </c>
      <c r="Z50" s="124"/>
      <c r="AA50" s="124">
        <v>10.106800000000002</v>
      </c>
      <c r="AB50" s="123">
        <v>10.111322541953232</v>
      </c>
      <c r="AC50" s="71"/>
      <c r="AD50" s="119">
        <v>64.835560594067999</v>
      </c>
      <c r="AE50" s="120"/>
      <c r="AF50" s="115"/>
      <c r="AG50" s="119"/>
      <c r="AH50" s="119"/>
      <c r="AI50" s="119"/>
      <c r="AJ50" s="119"/>
      <c r="AK50" s="119"/>
      <c r="AL50" s="119"/>
    </row>
    <row r="51" spans="1:38" ht="14.45" customHeight="1" x14ac:dyDescent="0.25">
      <c r="A51" s="143" t="s">
        <v>146</v>
      </c>
      <c r="B51" s="144"/>
      <c r="C51" s="106"/>
      <c r="D51" s="71"/>
      <c r="E51" s="71"/>
      <c r="F51" s="71"/>
      <c r="G51" s="113">
        <v>45</v>
      </c>
      <c r="H51" s="114">
        <v>676.00511062784494</v>
      </c>
      <c r="I51" s="114"/>
      <c r="J51" s="115">
        <v>33.533757737302082</v>
      </c>
      <c r="K51" s="115">
        <v>2549.9095638070985</v>
      </c>
      <c r="L51" s="115"/>
      <c r="M51" s="115">
        <v>21.999896734735206</v>
      </c>
      <c r="N51" s="114">
        <v>404.80617698886959</v>
      </c>
      <c r="O51" s="114">
        <v>0</v>
      </c>
      <c r="P51" s="122">
        <v>745.1933873110487</v>
      </c>
      <c r="Q51" s="122">
        <v>571.52206554268514</v>
      </c>
      <c r="R51" s="122">
        <v>144.93651826899421</v>
      </c>
      <c r="S51" s="122">
        <v>23.207466262613622</v>
      </c>
      <c r="T51" s="123">
        <v>5.5273372367557299</v>
      </c>
      <c r="U51" s="122">
        <v>745.19663807603922</v>
      </c>
      <c r="V51" s="122">
        <v>571.52206554268514</v>
      </c>
      <c r="W51" s="122">
        <v>144.93651826899421</v>
      </c>
      <c r="X51" s="122">
        <v>23.210511433383257</v>
      </c>
      <c r="Y51" s="123">
        <v>5.527542830976639</v>
      </c>
      <c r="Z51" s="124"/>
      <c r="AA51" s="124">
        <v>10.480500000000001</v>
      </c>
      <c r="AB51" s="123">
        <v>10.484277544573391</v>
      </c>
      <c r="AC51" s="71"/>
      <c r="AD51" s="119">
        <v>65.499571713489914</v>
      </c>
      <c r="AE51" s="120"/>
      <c r="AF51" s="115"/>
      <c r="AG51" s="119"/>
      <c r="AH51" s="119"/>
      <c r="AI51" s="119"/>
      <c r="AJ51" s="119"/>
      <c r="AK51" s="119"/>
      <c r="AL51" s="119"/>
    </row>
    <row r="52" spans="1:38" ht="14.45" customHeight="1" x14ac:dyDescent="0.25">
      <c r="A52" s="143" t="s">
        <v>206</v>
      </c>
      <c r="B52" s="144"/>
      <c r="C52" s="106"/>
      <c r="D52" s="71"/>
      <c r="E52" s="71"/>
      <c r="F52" s="71"/>
      <c r="G52" s="113">
        <v>46</v>
      </c>
      <c r="H52" s="114">
        <v>665.4550326777304</v>
      </c>
      <c r="I52" s="114"/>
      <c r="J52" s="115">
        <v>33.803919401663279</v>
      </c>
      <c r="K52" s="115">
        <v>2579.8350521712996</v>
      </c>
      <c r="L52" s="115"/>
      <c r="M52" s="115">
        <v>21.919418378047684</v>
      </c>
      <c r="N52" s="114">
        <v>405.4439281643966</v>
      </c>
      <c r="O52" s="114">
        <v>0</v>
      </c>
      <c r="P52" s="122">
        <v>753.76918053453028</v>
      </c>
      <c r="Q52" s="122">
        <v>578.03071101863065</v>
      </c>
      <c r="R52" s="122">
        <v>147.0775400724639</v>
      </c>
      <c r="S52" s="122">
        <v>23.284238892120072</v>
      </c>
      <c r="T52" s="123">
        <v>5.3766905513156118</v>
      </c>
      <c r="U52" s="122">
        <v>753.77175089051093</v>
      </c>
      <c r="V52" s="122">
        <v>578.03071101863065</v>
      </c>
      <c r="W52" s="122">
        <v>147.0775400724639</v>
      </c>
      <c r="X52" s="122">
        <v>23.28665160469431</v>
      </c>
      <c r="Y52" s="123">
        <v>5.3768481947221121</v>
      </c>
      <c r="Z52" s="124"/>
      <c r="AA52" s="124">
        <v>10.860600000000002</v>
      </c>
      <c r="AB52" s="123">
        <v>10.863755270454433</v>
      </c>
      <c r="AC52" s="71"/>
      <c r="AD52" s="119">
        <v>66.15319196330239</v>
      </c>
      <c r="AE52" s="120"/>
      <c r="AF52" s="115"/>
      <c r="AG52" s="119"/>
      <c r="AH52" s="119"/>
      <c r="AI52" s="119"/>
      <c r="AJ52" s="119"/>
      <c r="AK52" s="119"/>
      <c r="AL52" s="119"/>
    </row>
    <row r="53" spans="1:38" ht="14.45" customHeight="1" x14ac:dyDescent="0.25">
      <c r="A53" s="143" t="s">
        <v>207</v>
      </c>
      <c r="B53" s="144"/>
      <c r="C53" s="106"/>
      <c r="D53" s="71"/>
      <c r="E53" s="71"/>
      <c r="F53" s="71"/>
      <c r="G53" s="113">
        <v>47</v>
      </c>
      <c r="H53" s="114">
        <v>655.23174624790317</v>
      </c>
      <c r="I53" s="114"/>
      <c r="J53" s="115">
        <v>34.060333687287084</v>
      </c>
      <c r="K53" s="115">
        <v>2608.3683622094195</v>
      </c>
      <c r="L53" s="115"/>
      <c r="M53" s="115">
        <v>21.818941921280473</v>
      </c>
      <c r="N53" s="114">
        <v>406.03809735172365</v>
      </c>
      <c r="O53" s="114">
        <v>0</v>
      </c>
      <c r="P53" s="122">
        <v>761.95688583250285</v>
      </c>
      <c r="Q53" s="122">
        <v>584.2449403946365</v>
      </c>
      <c r="R53" s="122">
        <v>149.15599566853572</v>
      </c>
      <c r="S53" s="122">
        <v>23.329295078841231</v>
      </c>
      <c r="T53" s="123">
        <v>5.2266546904894167</v>
      </c>
      <c r="U53" s="122">
        <v>761.95891833525809</v>
      </c>
      <c r="V53" s="122">
        <v>584.2449403946365</v>
      </c>
      <c r="W53" s="122">
        <v>149.15599566853572</v>
      </c>
      <c r="X53" s="122">
        <v>23.331206705384844</v>
      </c>
      <c r="Y53" s="123">
        <v>5.2267755667010016</v>
      </c>
      <c r="Z53" s="124"/>
      <c r="AA53" s="124">
        <v>11.2471</v>
      </c>
      <c r="AB53" s="123">
        <v>11.249735503419533</v>
      </c>
      <c r="AC53" s="71"/>
      <c r="AD53" s="119">
        <v>66.797275189918864</v>
      </c>
      <c r="AE53" s="120"/>
      <c r="AF53" s="115"/>
      <c r="AG53" s="119"/>
      <c r="AH53" s="119"/>
      <c r="AI53" s="119"/>
      <c r="AJ53" s="119"/>
      <c r="AK53" s="119"/>
      <c r="AL53" s="119"/>
    </row>
    <row r="54" spans="1:38" ht="14.45" customHeight="1" x14ac:dyDescent="0.25">
      <c r="A54" s="143" t="s">
        <v>208</v>
      </c>
      <c r="B54" s="144"/>
      <c r="C54" s="106">
        <v>85</v>
      </c>
      <c r="D54" s="71"/>
      <c r="E54" s="71"/>
      <c r="F54" s="71"/>
      <c r="G54" s="113">
        <v>48</v>
      </c>
      <c r="H54" s="114">
        <v>645.32439566181358</v>
      </c>
      <c r="I54" s="114"/>
      <c r="J54" s="115">
        <v>34.303655688514006</v>
      </c>
      <c r="K54" s="115">
        <v>2635.5906871499619</v>
      </c>
      <c r="L54" s="115"/>
      <c r="M54" s="115">
        <v>21.701236074480729</v>
      </c>
      <c r="N54" s="114">
        <v>406.61125522830605</v>
      </c>
      <c r="O54" s="114">
        <v>0</v>
      </c>
      <c r="P54" s="122">
        <v>769.77482649072124</v>
      </c>
      <c r="Q54" s="122">
        <v>590.18362459656464</v>
      </c>
      <c r="R54" s="122">
        <v>151.16670558225428</v>
      </c>
      <c r="S54" s="122">
        <v>23.345075143474855</v>
      </c>
      <c r="T54" s="123">
        <v>5.0794211684274861</v>
      </c>
      <c r="U54" s="122">
        <v>769.77643379409278</v>
      </c>
      <c r="V54" s="122">
        <v>590.18362459656464</v>
      </c>
      <c r="W54" s="122">
        <v>151.16670558225428</v>
      </c>
      <c r="X54" s="122">
        <v>23.346589762590948</v>
      </c>
      <c r="Y54" s="123">
        <v>5.0795138526828678</v>
      </c>
      <c r="Z54" s="124"/>
      <c r="AA54" s="124">
        <v>11.64</v>
      </c>
      <c r="AB54" s="123">
        <v>11.642201357498411</v>
      </c>
      <c r="AC54" s="71"/>
      <c r="AD54" s="119">
        <v>67.43228817096913</v>
      </c>
      <c r="AE54" s="120"/>
      <c r="AF54" s="115"/>
      <c r="AG54" s="119"/>
      <c r="AH54" s="119"/>
      <c r="AI54" s="119"/>
      <c r="AJ54" s="119"/>
      <c r="AK54" s="119"/>
      <c r="AL54" s="119"/>
    </row>
    <row r="55" spans="1:38" ht="14.45" customHeight="1" x14ac:dyDescent="0.25">
      <c r="A55" s="143" t="s">
        <v>209</v>
      </c>
      <c r="B55" s="144"/>
      <c r="C55" s="106">
        <v>75</v>
      </c>
      <c r="D55" s="71"/>
      <c r="E55" s="71"/>
      <c r="F55" s="71"/>
      <c r="G55" s="113">
        <v>49</v>
      </c>
      <c r="H55" s="114">
        <v>635.72207242506386</v>
      </c>
      <c r="I55" s="114"/>
      <c r="J55" s="115">
        <v>34.534514335709083</v>
      </c>
      <c r="K55" s="115">
        <v>2661.5502249853294</v>
      </c>
      <c r="L55" s="115"/>
      <c r="M55" s="115">
        <v>21.568538727982382</v>
      </c>
      <c r="N55" s="114">
        <v>407.18796539992246</v>
      </c>
      <c r="O55" s="114">
        <v>0</v>
      </c>
      <c r="P55" s="122">
        <v>777.23993676261421</v>
      </c>
      <c r="Q55" s="122">
        <v>595.85590792668131</v>
      </c>
      <c r="R55" s="122">
        <v>153.11348360559126</v>
      </c>
      <c r="S55" s="122">
        <v>23.334019705342659</v>
      </c>
      <c r="T55" s="123">
        <v>4.936525524998947</v>
      </c>
      <c r="U55" s="122">
        <v>777.24120789915946</v>
      </c>
      <c r="V55" s="122">
        <v>595.85590792668131</v>
      </c>
      <c r="W55" s="122">
        <v>153.11348360559126</v>
      </c>
      <c r="X55" s="122">
        <v>23.335219774367033</v>
      </c>
      <c r="Y55" s="123">
        <v>4.9365965925198312</v>
      </c>
      <c r="Z55" s="124"/>
      <c r="AA55" s="124">
        <v>12.039300000000001</v>
      </c>
      <c r="AB55" s="123">
        <v>12.041138728343089</v>
      </c>
      <c r="AC55" s="71"/>
      <c r="AD55" s="119">
        <v>68.058301337205179</v>
      </c>
      <c r="AE55" s="120"/>
      <c r="AF55" s="115"/>
      <c r="AG55" s="119"/>
      <c r="AH55" s="119"/>
      <c r="AI55" s="119"/>
      <c r="AJ55" s="119"/>
      <c r="AK55" s="119"/>
      <c r="AL55" s="119"/>
    </row>
    <row r="56" spans="1:38" ht="14.45" customHeight="1" x14ac:dyDescent="0.25">
      <c r="A56" s="146" t="s">
        <v>210</v>
      </c>
      <c r="B56" s="144"/>
      <c r="C56" s="106">
        <v>0</v>
      </c>
      <c r="D56" s="71"/>
      <c r="E56" s="71"/>
      <c r="F56" s="71"/>
      <c r="G56" s="113">
        <v>50</v>
      </c>
      <c r="H56" s="114">
        <v>626.41391643676388</v>
      </c>
      <c r="I56" s="114"/>
      <c r="J56" s="115">
        <v>34.753512820877106</v>
      </c>
      <c r="K56" s="115">
        <v>2686.3347505093498</v>
      </c>
      <c r="L56" s="115"/>
      <c r="M56" s="115">
        <v>21.422918974947589</v>
      </c>
      <c r="N56" s="114">
        <v>407.73345564368833</v>
      </c>
      <c r="O56" s="114">
        <v>2175.8565269903529</v>
      </c>
      <c r="P56" s="122">
        <v>784.38219407110444</v>
      </c>
      <c r="Q56" s="122">
        <v>601.28288637105436</v>
      </c>
      <c r="R56" s="122">
        <v>155.00232641987643</v>
      </c>
      <c r="S56" s="122">
        <v>23.298530665405124</v>
      </c>
      <c r="T56" s="123">
        <v>4.7984506147685719</v>
      </c>
      <c r="U56" s="122">
        <v>784.38319941137638</v>
      </c>
      <c r="V56" s="122">
        <v>601.28288637105436</v>
      </c>
      <c r="W56" s="122">
        <v>155.00232641987643</v>
      </c>
      <c r="X56" s="122">
        <v>23.299481513215564</v>
      </c>
      <c r="Y56" s="123">
        <v>4.7985051072300848</v>
      </c>
      <c r="Z56" s="124"/>
      <c r="AA56" s="124">
        <v>12.445</v>
      </c>
      <c r="AB56" s="123">
        <v>12.446535835011858</v>
      </c>
      <c r="AC56" s="71"/>
      <c r="AD56" s="119">
        <v>68.675917452274149</v>
      </c>
      <c r="AE56" s="120"/>
      <c r="AF56" s="115"/>
      <c r="AG56" s="119"/>
      <c r="AH56" s="119"/>
      <c r="AI56" s="119"/>
      <c r="AJ56" s="119"/>
      <c r="AK56" s="119"/>
      <c r="AL56" s="119"/>
    </row>
    <row r="57" spans="1:38" ht="14.45" customHeight="1" x14ac:dyDescent="0.25">
      <c r="A57" s="146" t="s">
        <v>211</v>
      </c>
      <c r="B57" s="144"/>
      <c r="C57" s="106">
        <v>0</v>
      </c>
      <c r="D57" s="71"/>
      <c r="E57" s="71"/>
      <c r="F57" s="71"/>
      <c r="G57" s="113"/>
      <c r="H57" s="114"/>
      <c r="I57" s="114"/>
      <c r="J57" s="115"/>
      <c r="K57" s="115"/>
      <c r="L57" s="115"/>
      <c r="M57" s="115"/>
      <c r="N57" s="114"/>
      <c r="O57" s="114"/>
      <c r="P57" s="122"/>
      <c r="Q57" s="122"/>
      <c r="R57" s="122"/>
      <c r="S57" s="122"/>
      <c r="T57" s="123"/>
      <c r="U57" s="122"/>
      <c r="V57" s="122"/>
      <c r="W57" s="122"/>
      <c r="X57" s="122"/>
      <c r="Y57" s="123"/>
      <c r="Z57" s="124"/>
      <c r="AA57" s="124"/>
      <c r="AB57" s="123"/>
      <c r="AC57" s="71"/>
      <c r="AD57" s="119"/>
      <c r="AE57" s="120"/>
      <c r="AF57" s="115"/>
      <c r="AG57" s="119"/>
      <c r="AH57" s="119"/>
      <c r="AI57" s="119"/>
      <c r="AJ57" s="119"/>
      <c r="AK57" s="119"/>
      <c r="AL57" s="119"/>
    </row>
    <row r="58" spans="1:38" ht="14.45" customHeight="1" x14ac:dyDescent="0.25">
      <c r="A58" s="143" t="s">
        <v>212</v>
      </c>
      <c r="B58" s="144"/>
      <c r="C58" s="106" t="s">
        <v>213</v>
      </c>
      <c r="D58" s="71"/>
      <c r="E58" s="71"/>
      <c r="F58" s="71"/>
      <c r="G58" s="113"/>
      <c r="H58" s="114"/>
      <c r="I58" s="114"/>
      <c r="J58" s="115"/>
      <c r="K58" s="115"/>
      <c r="L58" s="115"/>
      <c r="M58" s="115"/>
      <c r="N58" s="114"/>
      <c r="O58" s="114"/>
      <c r="P58" s="122"/>
      <c r="Q58" s="122"/>
      <c r="R58" s="122"/>
      <c r="S58" s="122"/>
      <c r="T58" s="123"/>
      <c r="U58" s="122"/>
      <c r="V58" s="122"/>
      <c r="W58" s="122"/>
      <c r="X58" s="122"/>
      <c r="Y58" s="123"/>
      <c r="Z58" s="124"/>
      <c r="AA58" s="124"/>
      <c r="AB58" s="123"/>
      <c r="AC58" s="71"/>
      <c r="AD58" s="119"/>
      <c r="AE58" s="120"/>
      <c r="AF58" s="115"/>
      <c r="AG58" s="119"/>
      <c r="AH58" s="119"/>
      <c r="AI58" s="119"/>
      <c r="AJ58" s="119"/>
      <c r="AK58" s="119"/>
      <c r="AL58" s="119"/>
    </row>
    <row r="59" spans="1:38" ht="14.45" customHeight="1" x14ac:dyDescent="0.25">
      <c r="A59" s="143" t="s">
        <v>214</v>
      </c>
      <c r="B59" s="144"/>
      <c r="C59" s="106" t="s">
        <v>215</v>
      </c>
      <c r="D59" s="71"/>
      <c r="E59" s="71"/>
      <c r="F59" s="71"/>
      <c r="G59" s="113"/>
      <c r="H59" s="114"/>
      <c r="I59" s="114"/>
      <c r="J59" s="115"/>
      <c r="K59" s="115"/>
      <c r="L59" s="115"/>
      <c r="M59" s="115"/>
      <c r="N59" s="114"/>
      <c r="O59" s="114"/>
      <c r="P59" s="122"/>
      <c r="Q59" s="122"/>
      <c r="R59" s="122"/>
      <c r="S59" s="122"/>
      <c r="T59" s="123"/>
      <c r="U59" s="122"/>
      <c r="V59" s="122"/>
      <c r="W59" s="122"/>
      <c r="X59" s="122"/>
      <c r="Y59" s="123"/>
      <c r="Z59" s="124"/>
      <c r="AA59" s="124"/>
      <c r="AB59" s="123"/>
      <c r="AC59" s="71"/>
      <c r="AD59" s="119"/>
      <c r="AE59" s="120"/>
      <c r="AF59" s="115"/>
      <c r="AG59" s="119"/>
      <c r="AH59" s="119"/>
      <c r="AI59" s="119"/>
      <c r="AJ59" s="119"/>
      <c r="AK59" s="119"/>
      <c r="AL59" s="119"/>
    </row>
    <row r="60" spans="1:38" ht="14.65" customHeight="1" x14ac:dyDescent="0.25">
      <c r="A60" s="146" t="s">
        <v>47</v>
      </c>
      <c r="B60" s="144"/>
      <c r="C60" s="106">
        <v>1</v>
      </c>
      <c r="D60" s="71"/>
      <c r="E60" s="71"/>
      <c r="F60" s="71"/>
      <c r="G60" s="113"/>
      <c r="H60" s="114"/>
      <c r="I60" s="114"/>
      <c r="J60" s="115"/>
      <c r="K60" s="115"/>
      <c r="L60" s="115"/>
      <c r="M60" s="115"/>
      <c r="N60" s="114"/>
      <c r="O60" s="114"/>
      <c r="P60" s="122"/>
      <c r="Q60" s="122"/>
      <c r="R60" s="122"/>
      <c r="S60" s="122"/>
      <c r="T60" s="123"/>
      <c r="U60" s="122"/>
      <c r="V60" s="122"/>
      <c r="W60" s="122"/>
      <c r="X60" s="122"/>
      <c r="Y60" s="123"/>
      <c r="Z60" s="124"/>
      <c r="AA60" s="124"/>
      <c r="AB60" s="123"/>
      <c r="AC60" s="71"/>
      <c r="AD60" s="119"/>
      <c r="AE60" s="120"/>
      <c r="AF60" s="115"/>
      <c r="AG60" s="119"/>
      <c r="AH60" s="119"/>
      <c r="AI60" s="119"/>
      <c r="AJ60" s="119"/>
      <c r="AK60" s="119"/>
      <c r="AL60" s="119"/>
    </row>
    <row r="61" spans="1:38" ht="14.45" customHeight="1" x14ac:dyDescent="0.25">
      <c r="A61" s="146" t="s">
        <v>216</v>
      </c>
      <c r="B61" s="144"/>
      <c r="C61" s="148" t="s">
        <v>217</v>
      </c>
      <c r="D61" s="71"/>
      <c r="E61" s="71"/>
      <c r="F61" s="71"/>
      <c r="G61" s="113"/>
      <c r="H61" s="114"/>
      <c r="I61" s="114"/>
      <c r="J61" s="115"/>
      <c r="K61" s="115"/>
      <c r="L61" s="115"/>
      <c r="M61" s="115"/>
      <c r="N61" s="114"/>
      <c r="O61" s="114"/>
      <c r="P61" s="122"/>
      <c r="Q61" s="122"/>
      <c r="R61" s="122"/>
      <c r="S61" s="122"/>
      <c r="T61" s="123"/>
      <c r="U61" s="122"/>
      <c r="V61" s="122"/>
      <c r="W61" s="122"/>
      <c r="X61" s="122"/>
      <c r="Y61" s="123"/>
      <c r="Z61" s="124"/>
      <c r="AA61" s="124"/>
      <c r="AB61" s="123"/>
      <c r="AC61" s="71"/>
      <c r="AD61" s="119"/>
      <c r="AE61" s="120"/>
      <c r="AF61" s="115"/>
      <c r="AG61" s="119"/>
      <c r="AH61" s="119"/>
      <c r="AI61" s="119"/>
      <c r="AJ61" s="119"/>
      <c r="AK61" s="119"/>
      <c r="AL61" s="119"/>
    </row>
    <row r="62" spans="1:38" x14ac:dyDescent="0.25">
      <c r="A62" s="71"/>
      <c r="B62" s="71"/>
      <c r="C62" s="71"/>
      <c r="D62" s="71"/>
      <c r="E62" s="71"/>
      <c r="F62" s="71"/>
      <c r="G62" s="113"/>
      <c r="H62" s="114"/>
      <c r="I62" s="114"/>
      <c r="J62" s="115"/>
      <c r="K62" s="115"/>
      <c r="L62" s="115"/>
      <c r="M62" s="115"/>
      <c r="N62" s="114"/>
      <c r="O62" s="114"/>
      <c r="P62" s="122"/>
      <c r="Q62" s="122"/>
      <c r="R62" s="122"/>
      <c r="S62" s="122"/>
      <c r="T62" s="123"/>
      <c r="U62" s="122"/>
      <c r="V62" s="122"/>
      <c r="W62" s="122"/>
      <c r="X62" s="122"/>
      <c r="Y62" s="123"/>
      <c r="Z62" s="124"/>
      <c r="AA62" s="124"/>
      <c r="AB62" s="123"/>
      <c r="AC62" s="71"/>
      <c r="AD62" s="119"/>
      <c r="AE62" s="120"/>
      <c r="AF62" s="115"/>
      <c r="AG62" s="119"/>
      <c r="AH62" s="119"/>
      <c r="AI62" s="119"/>
      <c r="AJ62" s="119"/>
      <c r="AK62" s="119"/>
      <c r="AL62" s="119"/>
    </row>
    <row r="63" spans="1:38" ht="26.25" x14ac:dyDescent="0.25">
      <c r="A63" s="141" t="s">
        <v>218</v>
      </c>
      <c r="B63" s="142"/>
      <c r="C63" s="149" t="s">
        <v>219</v>
      </c>
      <c r="D63" s="149" t="s">
        <v>220</v>
      </c>
      <c r="E63" s="149" t="s">
        <v>221</v>
      </c>
      <c r="F63" s="71"/>
      <c r="G63" s="113"/>
      <c r="H63" s="114"/>
      <c r="I63" s="114"/>
      <c r="J63" s="115"/>
      <c r="K63" s="115"/>
      <c r="L63" s="115"/>
      <c r="M63" s="115"/>
      <c r="N63" s="114"/>
      <c r="O63" s="114"/>
      <c r="P63" s="122"/>
      <c r="Q63" s="122"/>
      <c r="R63" s="122"/>
      <c r="S63" s="122"/>
      <c r="T63" s="123"/>
      <c r="U63" s="122"/>
      <c r="V63" s="122"/>
      <c r="W63" s="122"/>
      <c r="X63" s="122"/>
      <c r="Y63" s="123"/>
      <c r="Z63" s="124"/>
      <c r="AA63" s="124"/>
      <c r="AB63" s="123"/>
      <c r="AC63" s="71"/>
      <c r="AD63" s="119"/>
      <c r="AE63" s="120"/>
      <c r="AF63" s="115"/>
      <c r="AG63" s="119"/>
      <c r="AH63" s="119"/>
      <c r="AI63" s="119"/>
      <c r="AJ63" s="119"/>
      <c r="AK63" s="119"/>
      <c r="AL63" s="119"/>
    </row>
    <row r="64" spans="1:38" ht="14.45" customHeight="1" x14ac:dyDescent="0.25">
      <c r="A64" s="146" t="s">
        <v>222</v>
      </c>
      <c r="B64" s="82"/>
      <c r="C64" s="106">
        <v>0</v>
      </c>
      <c r="D64" s="106">
        <v>0</v>
      </c>
      <c r="E64" s="106">
        <v>0</v>
      </c>
      <c r="F64" s="71"/>
      <c r="G64" s="113"/>
      <c r="H64" s="114"/>
      <c r="I64" s="114"/>
      <c r="J64" s="115"/>
      <c r="K64" s="115"/>
      <c r="L64" s="115"/>
      <c r="M64" s="115"/>
      <c r="N64" s="114"/>
      <c r="O64" s="114"/>
      <c r="P64" s="122"/>
      <c r="Q64" s="122"/>
      <c r="R64" s="122"/>
      <c r="S64" s="122"/>
      <c r="T64" s="123"/>
      <c r="U64" s="122"/>
      <c r="V64" s="122"/>
      <c r="W64" s="122"/>
      <c r="X64" s="122"/>
      <c r="Y64" s="123"/>
      <c r="Z64" s="124"/>
      <c r="AA64" s="124"/>
      <c r="AB64" s="123"/>
      <c r="AC64" s="71"/>
      <c r="AD64" s="119"/>
      <c r="AE64" s="120"/>
      <c r="AF64" s="115"/>
      <c r="AG64" s="119"/>
      <c r="AH64" s="119"/>
      <c r="AI64" s="119"/>
      <c r="AJ64" s="119"/>
      <c r="AK64" s="119"/>
      <c r="AL64" s="119"/>
    </row>
    <row r="65" spans="1:38" ht="14.45" customHeight="1" x14ac:dyDescent="0.25">
      <c r="A65" s="146" t="s">
        <v>223</v>
      </c>
      <c r="B65" s="82"/>
      <c r="C65" s="106">
        <v>0</v>
      </c>
      <c r="D65" s="106">
        <v>0</v>
      </c>
      <c r="E65" s="106">
        <v>0</v>
      </c>
      <c r="F65" s="71"/>
      <c r="G65" s="113"/>
      <c r="H65" s="114"/>
      <c r="I65" s="114"/>
      <c r="J65" s="115"/>
      <c r="K65" s="115"/>
      <c r="L65" s="115"/>
      <c r="M65" s="115"/>
      <c r="N65" s="114"/>
      <c r="O65" s="114"/>
      <c r="P65" s="122"/>
      <c r="Q65" s="122"/>
      <c r="R65" s="122"/>
      <c r="S65" s="122"/>
      <c r="T65" s="123"/>
      <c r="U65" s="122"/>
      <c r="V65" s="122"/>
      <c r="W65" s="122"/>
      <c r="X65" s="122"/>
      <c r="Y65" s="123"/>
      <c r="Z65" s="124"/>
      <c r="AA65" s="124"/>
      <c r="AB65" s="123"/>
      <c r="AC65" s="71"/>
      <c r="AD65" s="119"/>
      <c r="AE65" s="120"/>
      <c r="AF65" s="115"/>
      <c r="AG65" s="119"/>
      <c r="AH65" s="119"/>
      <c r="AI65" s="119"/>
      <c r="AJ65" s="119"/>
      <c r="AK65" s="119"/>
      <c r="AL65" s="119"/>
    </row>
    <row r="66" spans="1:38" ht="14.45" customHeight="1" x14ac:dyDescent="0.25">
      <c r="A66" s="146" t="s">
        <v>224</v>
      </c>
      <c r="B66" s="82"/>
      <c r="C66" s="106">
        <v>0</v>
      </c>
      <c r="D66" s="106">
        <v>0</v>
      </c>
      <c r="E66" s="106">
        <v>0</v>
      </c>
      <c r="F66" s="71"/>
      <c r="G66" s="113"/>
      <c r="H66" s="114"/>
      <c r="I66" s="114"/>
      <c r="J66" s="115"/>
      <c r="K66" s="115"/>
      <c r="L66" s="115"/>
      <c r="M66" s="115"/>
      <c r="N66" s="114"/>
      <c r="O66" s="114"/>
      <c r="P66" s="122"/>
      <c r="Q66" s="122"/>
      <c r="R66" s="122"/>
      <c r="S66" s="122"/>
      <c r="T66" s="123"/>
      <c r="U66" s="122"/>
      <c r="V66" s="122"/>
      <c r="W66" s="122"/>
      <c r="X66" s="122"/>
      <c r="Y66" s="123"/>
      <c r="Z66" s="124"/>
      <c r="AA66" s="124"/>
      <c r="AB66" s="123"/>
      <c r="AC66" s="71"/>
      <c r="AD66" s="119"/>
      <c r="AE66" s="120"/>
      <c r="AF66" s="115"/>
      <c r="AG66" s="119"/>
      <c r="AH66" s="119"/>
      <c r="AI66" s="119"/>
      <c r="AJ66" s="119"/>
      <c r="AK66" s="119"/>
      <c r="AL66" s="119"/>
    </row>
    <row r="67" spans="1:38" ht="14.45" customHeight="1" x14ac:dyDescent="0.25">
      <c r="A67" s="146" t="s">
        <v>225</v>
      </c>
      <c r="B67" s="82"/>
      <c r="C67" s="106">
        <v>0</v>
      </c>
      <c r="D67" s="106">
        <v>0</v>
      </c>
      <c r="E67" s="106">
        <v>0</v>
      </c>
      <c r="F67" s="71"/>
      <c r="G67" s="113"/>
      <c r="H67" s="114"/>
      <c r="I67" s="114"/>
      <c r="J67" s="115"/>
      <c r="K67" s="115"/>
      <c r="L67" s="115"/>
      <c r="M67" s="115"/>
      <c r="N67" s="114"/>
      <c r="O67" s="114"/>
      <c r="P67" s="122"/>
      <c r="Q67" s="122"/>
      <c r="R67" s="122"/>
      <c r="S67" s="122"/>
      <c r="T67" s="123"/>
      <c r="U67" s="122"/>
      <c r="V67" s="122"/>
      <c r="W67" s="122"/>
      <c r="X67" s="122"/>
      <c r="Y67" s="123"/>
      <c r="Z67" s="124"/>
      <c r="AA67" s="124"/>
      <c r="AB67" s="123"/>
      <c r="AC67" s="71"/>
      <c r="AD67" s="119"/>
      <c r="AE67" s="120"/>
      <c r="AF67" s="115"/>
      <c r="AG67" s="119"/>
      <c r="AH67" s="119"/>
      <c r="AI67" s="119"/>
      <c r="AJ67" s="119"/>
      <c r="AK67" s="119"/>
      <c r="AL67" s="119"/>
    </row>
    <row r="68" spans="1:38" ht="14.45" customHeight="1" x14ac:dyDescent="0.25">
      <c r="A68" s="146" t="s">
        <v>226</v>
      </c>
      <c r="B68" s="82"/>
      <c r="C68" s="106">
        <v>0</v>
      </c>
      <c r="D68" s="106">
        <v>0</v>
      </c>
      <c r="E68" s="106">
        <v>0</v>
      </c>
      <c r="F68" s="71"/>
      <c r="G68" s="113"/>
      <c r="H68" s="114"/>
      <c r="I68" s="114"/>
      <c r="J68" s="115"/>
      <c r="K68" s="115"/>
      <c r="L68" s="115"/>
      <c r="M68" s="115"/>
      <c r="N68" s="114"/>
      <c r="O68" s="114"/>
      <c r="P68" s="122"/>
      <c r="Q68" s="122"/>
      <c r="R68" s="122"/>
      <c r="S68" s="122"/>
      <c r="T68" s="123"/>
      <c r="U68" s="122"/>
      <c r="V68" s="122"/>
      <c r="W68" s="122"/>
      <c r="X68" s="122"/>
      <c r="Y68" s="123"/>
      <c r="Z68" s="124"/>
      <c r="AA68" s="124"/>
      <c r="AB68" s="123"/>
      <c r="AC68" s="71"/>
      <c r="AD68" s="119"/>
      <c r="AE68" s="120"/>
      <c r="AF68" s="115"/>
      <c r="AG68" s="119"/>
      <c r="AH68" s="119"/>
      <c r="AI68" s="119"/>
      <c r="AJ68" s="119"/>
      <c r="AK68" s="119"/>
      <c r="AL68" s="119"/>
    </row>
    <row r="69" spans="1:38" x14ac:dyDescent="0.25">
      <c r="A69" s="71"/>
      <c r="B69" s="71"/>
      <c r="C69" s="71"/>
      <c r="D69" s="71"/>
      <c r="E69" s="71"/>
      <c r="F69" s="71"/>
      <c r="G69" s="113"/>
      <c r="H69" s="114"/>
      <c r="I69" s="114"/>
      <c r="J69" s="115"/>
      <c r="K69" s="115"/>
      <c r="L69" s="115"/>
      <c r="M69" s="115"/>
      <c r="N69" s="114"/>
      <c r="O69" s="114"/>
      <c r="P69" s="122"/>
      <c r="Q69" s="122"/>
      <c r="R69" s="122"/>
      <c r="S69" s="122"/>
      <c r="T69" s="123"/>
      <c r="U69" s="122"/>
      <c r="V69" s="122"/>
      <c r="W69" s="122"/>
      <c r="X69" s="122"/>
      <c r="Y69" s="123"/>
      <c r="Z69" s="124"/>
      <c r="AA69" s="124"/>
      <c r="AB69" s="123"/>
      <c r="AC69" s="71"/>
      <c r="AD69" s="119"/>
      <c r="AE69" s="120"/>
      <c r="AF69" s="115"/>
      <c r="AG69" s="119"/>
      <c r="AH69" s="119"/>
      <c r="AI69" s="119"/>
      <c r="AJ69" s="119"/>
      <c r="AK69" s="119"/>
      <c r="AL69" s="119"/>
    </row>
    <row r="70" spans="1:38" x14ac:dyDescent="0.25">
      <c r="A70" s="71"/>
      <c r="B70" s="71"/>
      <c r="C70" s="71"/>
      <c r="D70" s="71"/>
      <c r="E70" s="71"/>
      <c r="F70" s="71"/>
      <c r="G70" s="113"/>
      <c r="H70" s="114"/>
      <c r="I70" s="114"/>
      <c r="J70" s="115"/>
      <c r="K70" s="115"/>
      <c r="L70" s="115"/>
      <c r="M70" s="115"/>
      <c r="N70" s="114"/>
      <c r="O70" s="114"/>
      <c r="P70" s="122"/>
      <c r="Q70" s="122"/>
      <c r="R70" s="122"/>
      <c r="S70" s="122"/>
      <c r="T70" s="123"/>
      <c r="U70" s="122"/>
      <c r="V70" s="122"/>
      <c r="W70" s="122"/>
      <c r="X70" s="122"/>
      <c r="Y70" s="123"/>
      <c r="Z70" s="124"/>
      <c r="AA70" s="124"/>
      <c r="AB70" s="123"/>
      <c r="AC70" s="71"/>
      <c r="AD70" s="119"/>
      <c r="AE70" s="120"/>
      <c r="AF70" s="115"/>
      <c r="AG70" s="119"/>
      <c r="AH70" s="119"/>
      <c r="AI70" s="119"/>
      <c r="AJ70" s="119"/>
      <c r="AK70" s="119"/>
      <c r="AL70" s="119"/>
    </row>
    <row r="71" spans="1:38" x14ac:dyDescent="0.25">
      <c r="A71" s="71"/>
      <c r="B71" s="71"/>
      <c r="C71" s="71"/>
      <c r="D71" s="71"/>
      <c r="E71" s="71"/>
      <c r="F71" s="71"/>
      <c r="G71" s="113"/>
      <c r="H71" s="114"/>
      <c r="I71" s="114"/>
      <c r="J71" s="115"/>
      <c r="K71" s="115"/>
      <c r="L71" s="115"/>
      <c r="M71" s="115"/>
      <c r="N71" s="114"/>
      <c r="O71" s="114"/>
      <c r="P71" s="122"/>
      <c r="Q71" s="122"/>
      <c r="R71" s="122"/>
      <c r="S71" s="122"/>
      <c r="T71" s="123"/>
      <c r="U71" s="122"/>
      <c r="V71" s="122"/>
      <c r="W71" s="122"/>
      <c r="X71" s="122"/>
      <c r="Y71" s="123"/>
      <c r="Z71" s="124"/>
      <c r="AA71" s="124"/>
      <c r="AB71" s="123"/>
      <c r="AC71" s="71"/>
      <c r="AD71" s="119"/>
      <c r="AE71" s="120"/>
      <c r="AF71" s="115"/>
      <c r="AG71" s="119"/>
      <c r="AH71" s="119"/>
      <c r="AI71" s="119"/>
      <c r="AJ71" s="119"/>
      <c r="AK71" s="119"/>
      <c r="AL71" s="119"/>
    </row>
    <row r="72" spans="1:38" x14ac:dyDescent="0.25">
      <c r="A72" s="71"/>
      <c r="B72" s="71"/>
      <c r="C72" s="71"/>
      <c r="D72" s="71"/>
      <c r="E72" s="71"/>
      <c r="F72" s="71"/>
      <c r="G72" s="113"/>
      <c r="H72" s="114"/>
      <c r="I72" s="114"/>
      <c r="J72" s="115"/>
      <c r="K72" s="115"/>
      <c r="L72" s="115"/>
      <c r="M72" s="115"/>
      <c r="N72" s="114"/>
      <c r="O72" s="114"/>
      <c r="P72" s="122"/>
      <c r="Q72" s="122"/>
      <c r="R72" s="122"/>
      <c r="S72" s="122"/>
      <c r="T72" s="123"/>
      <c r="U72" s="122"/>
      <c r="V72" s="122"/>
      <c r="W72" s="122"/>
      <c r="X72" s="122"/>
      <c r="Y72" s="123"/>
      <c r="Z72" s="124"/>
      <c r="AA72" s="124"/>
      <c r="AB72" s="123"/>
      <c r="AC72" s="71"/>
      <c r="AD72" s="119"/>
      <c r="AE72" s="120"/>
      <c r="AF72" s="115"/>
      <c r="AG72" s="119"/>
      <c r="AH72" s="119"/>
      <c r="AI72" s="119"/>
      <c r="AJ72" s="119"/>
      <c r="AK72" s="119"/>
      <c r="AL72" s="119"/>
    </row>
    <row r="73" spans="1:38" x14ac:dyDescent="0.25">
      <c r="A73" s="71"/>
      <c r="B73" s="71"/>
      <c r="C73" s="71"/>
      <c r="D73" s="71"/>
      <c r="E73" s="71"/>
      <c r="F73" s="71"/>
      <c r="G73" s="113"/>
      <c r="H73" s="114"/>
      <c r="I73" s="114"/>
      <c r="J73" s="115"/>
      <c r="K73" s="115"/>
      <c r="L73" s="115"/>
      <c r="M73" s="115"/>
      <c r="N73" s="114"/>
      <c r="O73" s="114"/>
      <c r="P73" s="122"/>
      <c r="Q73" s="122"/>
      <c r="R73" s="122"/>
      <c r="S73" s="122"/>
      <c r="T73" s="123"/>
      <c r="U73" s="122"/>
      <c r="V73" s="122"/>
      <c r="W73" s="122"/>
      <c r="X73" s="122"/>
      <c r="Y73" s="123"/>
      <c r="Z73" s="124"/>
      <c r="AA73" s="124"/>
      <c r="AB73" s="123"/>
      <c r="AC73" s="71"/>
      <c r="AD73" s="119"/>
      <c r="AE73" s="120"/>
      <c r="AF73" s="115"/>
      <c r="AG73" s="119"/>
      <c r="AH73" s="119"/>
      <c r="AI73" s="119"/>
      <c r="AJ73" s="119"/>
      <c r="AK73" s="119"/>
      <c r="AL73" s="119"/>
    </row>
    <row r="74" spans="1:38" x14ac:dyDescent="0.25">
      <c r="A74" s="71"/>
      <c r="B74" s="71"/>
      <c r="C74" s="71"/>
      <c r="D74" s="71"/>
      <c r="E74" s="71"/>
      <c r="F74" s="71"/>
      <c r="G74" s="113"/>
      <c r="H74" s="114"/>
      <c r="I74" s="114"/>
      <c r="J74" s="115"/>
      <c r="K74" s="115"/>
      <c r="L74" s="115"/>
      <c r="M74" s="115"/>
      <c r="N74" s="114"/>
      <c r="O74" s="114"/>
      <c r="P74" s="122"/>
      <c r="Q74" s="122"/>
      <c r="R74" s="122"/>
      <c r="S74" s="122"/>
      <c r="T74" s="123"/>
      <c r="U74" s="122"/>
      <c r="V74" s="122"/>
      <c r="W74" s="122"/>
      <c r="X74" s="122"/>
      <c r="Y74" s="123"/>
      <c r="Z74" s="124"/>
      <c r="AA74" s="124"/>
      <c r="AB74" s="123"/>
      <c r="AC74" s="71"/>
      <c r="AD74" s="119"/>
      <c r="AE74" s="120"/>
      <c r="AF74" s="115"/>
      <c r="AG74" s="119"/>
      <c r="AH74" s="119"/>
      <c r="AI74" s="119"/>
      <c r="AJ74" s="119"/>
      <c r="AK74" s="119"/>
      <c r="AL74" s="119"/>
    </row>
    <row r="75" spans="1:38" x14ac:dyDescent="0.25">
      <c r="A75" s="71"/>
      <c r="B75" s="71"/>
      <c r="C75" s="71"/>
      <c r="D75" s="71"/>
      <c r="E75" s="71"/>
      <c r="F75" s="71"/>
      <c r="G75" s="113"/>
      <c r="H75" s="114"/>
      <c r="I75" s="114"/>
      <c r="J75" s="115"/>
      <c r="K75" s="115"/>
      <c r="L75" s="115"/>
      <c r="M75" s="115"/>
      <c r="N75" s="114"/>
      <c r="O75" s="114"/>
      <c r="P75" s="122"/>
      <c r="Q75" s="122"/>
      <c r="R75" s="122"/>
      <c r="S75" s="122"/>
      <c r="T75" s="123"/>
      <c r="U75" s="122"/>
      <c r="V75" s="122"/>
      <c r="W75" s="122"/>
      <c r="X75" s="122"/>
      <c r="Y75" s="123"/>
      <c r="Z75" s="124"/>
      <c r="AA75" s="124"/>
      <c r="AB75" s="123"/>
      <c r="AC75" s="71"/>
      <c r="AD75" s="119"/>
      <c r="AE75" s="120"/>
      <c r="AF75" s="115"/>
      <c r="AG75" s="119"/>
      <c r="AH75" s="119"/>
      <c r="AI75" s="119"/>
      <c r="AJ75" s="119"/>
      <c r="AK75" s="119"/>
      <c r="AL75" s="119"/>
    </row>
    <row r="76" spans="1:38" x14ac:dyDescent="0.25">
      <c r="A76" s="71"/>
      <c r="B76" s="71"/>
      <c r="C76" s="71"/>
      <c r="D76" s="71"/>
      <c r="E76" s="71"/>
      <c r="F76" s="71"/>
      <c r="G76" s="113"/>
      <c r="H76" s="114"/>
      <c r="I76" s="114"/>
      <c r="J76" s="115"/>
      <c r="K76" s="115"/>
      <c r="L76" s="115"/>
      <c r="M76" s="115"/>
      <c r="N76" s="114"/>
      <c r="O76" s="114"/>
      <c r="P76" s="122"/>
      <c r="Q76" s="122"/>
      <c r="R76" s="122"/>
      <c r="S76" s="122"/>
      <c r="T76" s="123"/>
      <c r="U76" s="122"/>
      <c r="V76" s="122"/>
      <c r="W76" s="122"/>
      <c r="X76" s="122"/>
      <c r="Y76" s="123"/>
      <c r="Z76" s="124"/>
      <c r="AA76" s="124"/>
      <c r="AB76" s="123"/>
      <c r="AC76" s="71"/>
      <c r="AD76" s="119"/>
      <c r="AE76" s="120"/>
      <c r="AF76" s="115"/>
      <c r="AG76" s="119"/>
      <c r="AH76" s="119"/>
      <c r="AI76" s="119"/>
      <c r="AJ76" s="119"/>
      <c r="AK76" s="119"/>
      <c r="AL76" s="119"/>
    </row>
    <row r="77" spans="1:38" x14ac:dyDescent="0.25">
      <c r="A77" s="71"/>
      <c r="B77" s="71"/>
      <c r="C77" s="71"/>
      <c r="D77" s="71"/>
      <c r="E77" s="71"/>
      <c r="F77" s="71"/>
      <c r="G77" s="113"/>
      <c r="H77" s="114"/>
      <c r="I77" s="114"/>
      <c r="J77" s="115"/>
      <c r="K77" s="115"/>
      <c r="L77" s="115"/>
      <c r="M77" s="115"/>
      <c r="N77" s="114"/>
      <c r="O77" s="114"/>
      <c r="P77" s="122"/>
      <c r="Q77" s="122"/>
      <c r="R77" s="122"/>
      <c r="S77" s="122"/>
      <c r="T77" s="123"/>
      <c r="U77" s="122"/>
      <c r="V77" s="122"/>
      <c r="W77" s="122"/>
      <c r="X77" s="122"/>
      <c r="Y77" s="123"/>
      <c r="Z77" s="124"/>
      <c r="AA77" s="124"/>
      <c r="AB77" s="123"/>
      <c r="AC77" s="71"/>
      <c r="AD77" s="119"/>
      <c r="AE77" s="120"/>
      <c r="AF77" s="115"/>
      <c r="AG77" s="119"/>
      <c r="AH77" s="119"/>
      <c r="AI77" s="119"/>
      <c r="AJ77" s="119"/>
      <c r="AK77" s="119"/>
      <c r="AL77" s="119"/>
    </row>
    <row r="78" spans="1:38" x14ac:dyDescent="0.25">
      <c r="A78" s="71"/>
      <c r="B78" s="71"/>
      <c r="C78" s="71"/>
      <c r="D78" s="71"/>
      <c r="E78" s="71"/>
      <c r="F78" s="71"/>
      <c r="G78" s="113"/>
      <c r="H78" s="114"/>
      <c r="I78" s="114"/>
      <c r="J78" s="115"/>
      <c r="K78" s="115"/>
      <c r="L78" s="115"/>
      <c r="M78" s="115"/>
      <c r="N78" s="114"/>
      <c r="O78" s="114"/>
      <c r="P78" s="122"/>
      <c r="Q78" s="122"/>
      <c r="R78" s="122"/>
      <c r="S78" s="122"/>
      <c r="T78" s="123"/>
      <c r="U78" s="122"/>
      <c r="V78" s="122"/>
      <c r="W78" s="122"/>
      <c r="X78" s="122"/>
      <c r="Y78" s="123"/>
      <c r="Z78" s="124"/>
      <c r="AA78" s="124"/>
      <c r="AB78" s="123"/>
      <c r="AC78" s="71"/>
      <c r="AD78" s="119"/>
      <c r="AE78" s="120"/>
      <c r="AF78" s="115"/>
      <c r="AG78" s="119"/>
      <c r="AH78" s="119"/>
      <c r="AI78" s="119"/>
      <c r="AJ78" s="119"/>
      <c r="AK78" s="119"/>
      <c r="AL78" s="119"/>
    </row>
    <row r="79" spans="1:38" x14ac:dyDescent="0.25">
      <c r="A79" s="71"/>
      <c r="B79" s="71"/>
      <c r="C79" s="71"/>
      <c r="D79" s="71"/>
      <c r="E79" s="71"/>
      <c r="F79" s="71"/>
      <c r="G79" s="113"/>
      <c r="H79" s="114"/>
      <c r="I79" s="114"/>
      <c r="J79" s="115"/>
      <c r="K79" s="115"/>
      <c r="L79" s="115"/>
      <c r="M79" s="115"/>
      <c r="N79" s="114"/>
      <c r="O79" s="114"/>
      <c r="P79" s="122"/>
      <c r="Q79" s="122"/>
      <c r="R79" s="122"/>
      <c r="S79" s="122"/>
      <c r="T79" s="123"/>
      <c r="U79" s="122"/>
      <c r="V79" s="122"/>
      <c r="W79" s="122"/>
      <c r="X79" s="122"/>
      <c r="Y79" s="123"/>
      <c r="Z79" s="124"/>
      <c r="AA79" s="124"/>
      <c r="AB79" s="123"/>
      <c r="AC79" s="71"/>
      <c r="AD79" s="119"/>
      <c r="AE79" s="120"/>
      <c r="AF79" s="115"/>
      <c r="AG79" s="119"/>
      <c r="AH79" s="119"/>
      <c r="AI79" s="119"/>
      <c r="AJ79" s="119"/>
      <c r="AK79" s="119"/>
      <c r="AL79" s="119"/>
    </row>
    <row r="80" spans="1:38" x14ac:dyDescent="0.25">
      <c r="A80" s="71"/>
      <c r="B80" s="71"/>
      <c r="C80" s="71"/>
      <c r="D80" s="71"/>
      <c r="E80" s="71"/>
      <c r="F80" s="71"/>
      <c r="G80" s="113"/>
      <c r="H80" s="114"/>
      <c r="I80" s="114"/>
      <c r="J80" s="115"/>
      <c r="K80" s="115"/>
      <c r="L80" s="115"/>
      <c r="M80" s="115"/>
      <c r="N80" s="114"/>
      <c r="O80" s="114"/>
      <c r="P80" s="122"/>
      <c r="Q80" s="122"/>
      <c r="R80" s="122"/>
      <c r="S80" s="122"/>
      <c r="T80" s="123"/>
      <c r="U80" s="122"/>
      <c r="V80" s="122"/>
      <c r="W80" s="122"/>
      <c r="X80" s="122"/>
      <c r="Y80" s="123"/>
      <c r="Z80" s="124"/>
      <c r="AA80" s="124"/>
      <c r="AB80" s="123"/>
      <c r="AC80" s="71"/>
      <c r="AD80" s="119"/>
      <c r="AE80" s="120"/>
      <c r="AF80" s="115"/>
      <c r="AG80" s="119"/>
      <c r="AH80" s="119"/>
      <c r="AI80" s="119"/>
      <c r="AJ80" s="119"/>
      <c r="AK80" s="119"/>
      <c r="AL80" s="119"/>
    </row>
    <row r="81" spans="1:38" x14ac:dyDescent="0.25">
      <c r="A81" s="71"/>
      <c r="B81" s="71"/>
      <c r="C81" s="71"/>
      <c r="D81" s="71"/>
      <c r="E81" s="71"/>
      <c r="F81" s="71"/>
      <c r="G81" s="113"/>
      <c r="H81" s="114"/>
      <c r="I81" s="114"/>
      <c r="J81" s="115"/>
      <c r="K81" s="115"/>
      <c r="L81" s="115"/>
      <c r="M81" s="115"/>
      <c r="N81" s="114"/>
      <c r="O81" s="114"/>
      <c r="P81" s="122"/>
      <c r="Q81" s="122"/>
      <c r="R81" s="122"/>
      <c r="S81" s="122"/>
      <c r="T81" s="123"/>
      <c r="U81" s="122"/>
      <c r="V81" s="122"/>
      <c r="W81" s="122"/>
      <c r="X81" s="122"/>
      <c r="Y81" s="123"/>
      <c r="Z81" s="124"/>
      <c r="AA81" s="124"/>
      <c r="AB81" s="123"/>
      <c r="AC81" s="71"/>
      <c r="AD81" s="119"/>
      <c r="AE81" s="120"/>
      <c r="AF81" s="115"/>
      <c r="AG81" s="119"/>
      <c r="AH81" s="119"/>
      <c r="AI81" s="119"/>
      <c r="AJ81" s="119"/>
      <c r="AK81" s="119"/>
      <c r="AL81" s="119"/>
    </row>
    <row r="82" spans="1:38" x14ac:dyDescent="0.25">
      <c r="A82" s="71"/>
      <c r="B82" s="71"/>
      <c r="C82" s="71"/>
      <c r="D82" s="71"/>
      <c r="E82" s="71"/>
      <c r="F82" s="71"/>
      <c r="G82" s="113"/>
      <c r="H82" s="114"/>
      <c r="I82" s="114"/>
      <c r="J82" s="115"/>
      <c r="K82" s="115"/>
      <c r="L82" s="115"/>
      <c r="M82" s="115"/>
      <c r="N82" s="114"/>
      <c r="O82" s="114"/>
      <c r="P82" s="122"/>
      <c r="Q82" s="122"/>
      <c r="R82" s="122"/>
      <c r="S82" s="122"/>
      <c r="T82" s="123"/>
      <c r="U82" s="122"/>
      <c r="V82" s="122"/>
      <c r="W82" s="122"/>
      <c r="X82" s="122"/>
      <c r="Y82" s="123"/>
      <c r="Z82" s="124"/>
      <c r="AA82" s="124"/>
      <c r="AB82" s="123"/>
      <c r="AC82" s="71"/>
      <c r="AD82" s="119"/>
      <c r="AE82" s="120"/>
      <c r="AF82" s="115"/>
      <c r="AG82" s="119"/>
      <c r="AH82" s="119"/>
      <c r="AI82" s="119"/>
      <c r="AJ82" s="119"/>
      <c r="AK82" s="119"/>
      <c r="AL82" s="119"/>
    </row>
    <row r="83" spans="1:38" x14ac:dyDescent="0.25">
      <c r="A83" s="71"/>
      <c r="B83" s="71"/>
      <c r="C83" s="71"/>
      <c r="D83" s="71"/>
      <c r="E83" s="71"/>
      <c r="F83" s="71"/>
      <c r="G83" s="113"/>
      <c r="H83" s="114"/>
      <c r="I83" s="114"/>
      <c r="J83" s="115"/>
      <c r="K83" s="115"/>
      <c r="L83" s="115"/>
      <c r="M83" s="115"/>
      <c r="N83" s="114"/>
      <c r="O83" s="114"/>
      <c r="P83" s="122"/>
      <c r="Q83" s="122"/>
      <c r="R83" s="122"/>
      <c r="S83" s="122"/>
      <c r="T83" s="123"/>
      <c r="U83" s="122"/>
      <c r="V83" s="122"/>
      <c r="W83" s="122"/>
      <c r="X83" s="122"/>
      <c r="Y83" s="123"/>
      <c r="Z83" s="124"/>
      <c r="AA83" s="124"/>
      <c r="AB83" s="123"/>
      <c r="AC83" s="71"/>
      <c r="AD83" s="119"/>
      <c r="AE83" s="120"/>
      <c r="AF83" s="115"/>
      <c r="AG83" s="119"/>
      <c r="AH83" s="119"/>
      <c r="AI83" s="119"/>
      <c r="AJ83" s="119"/>
      <c r="AK83" s="119"/>
      <c r="AL83" s="119"/>
    </row>
    <row r="84" spans="1:38" x14ac:dyDescent="0.25">
      <c r="A84" s="71"/>
      <c r="B84" s="71"/>
      <c r="C84" s="71"/>
      <c r="D84" s="71"/>
      <c r="E84" s="71"/>
      <c r="F84" s="71"/>
      <c r="G84" s="113"/>
      <c r="H84" s="114"/>
      <c r="I84" s="114"/>
      <c r="J84" s="115"/>
      <c r="K84" s="115"/>
      <c r="L84" s="115"/>
      <c r="M84" s="115"/>
      <c r="N84" s="114"/>
      <c r="O84" s="114"/>
      <c r="P84" s="122"/>
      <c r="Q84" s="122"/>
      <c r="R84" s="122"/>
      <c r="S84" s="122"/>
      <c r="T84" s="123"/>
      <c r="U84" s="122"/>
      <c r="V84" s="122"/>
      <c r="W84" s="122"/>
      <c r="X84" s="122"/>
      <c r="Y84" s="123"/>
      <c r="Z84" s="124"/>
      <c r="AA84" s="124"/>
      <c r="AB84" s="123"/>
      <c r="AC84" s="71"/>
      <c r="AD84" s="119"/>
      <c r="AE84" s="120"/>
      <c r="AF84" s="115"/>
      <c r="AG84" s="119"/>
      <c r="AH84" s="119"/>
      <c r="AI84" s="119"/>
      <c r="AJ84" s="119"/>
      <c r="AK84" s="119"/>
      <c r="AL84" s="119"/>
    </row>
    <row r="85" spans="1:38" x14ac:dyDescent="0.25">
      <c r="A85" s="71"/>
      <c r="B85" s="71"/>
      <c r="C85" s="71"/>
      <c r="D85" s="71"/>
      <c r="E85" s="71"/>
      <c r="F85" s="71"/>
      <c r="G85" s="113"/>
      <c r="H85" s="114"/>
      <c r="I85" s="114"/>
      <c r="J85" s="115"/>
      <c r="K85" s="115"/>
      <c r="L85" s="115"/>
      <c r="M85" s="115"/>
      <c r="N85" s="114"/>
      <c r="O85" s="114"/>
      <c r="P85" s="122"/>
      <c r="Q85" s="122"/>
      <c r="R85" s="122"/>
      <c r="S85" s="122"/>
      <c r="T85" s="123"/>
      <c r="U85" s="122"/>
      <c r="V85" s="122"/>
      <c r="W85" s="122"/>
      <c r="X85" s="122"/>
      <c r="Y85" s="123"/>
      <c r="Z85" s="124"/>
      <c r="AA85" s="124"/>
      <c r="AB85" s="123"/>
      <c r="AC85" s="71"/>
      <c r="AD85" s="119"/>
      <c r="AE85" s="120"/>
      <c r="AF85" s="115"/>
      <c r="AG85" s="119"/>
      <c r="AH85" s="119"/>
      <c r="AI85" s="119"/>
      <c r="AJ85" s="119"/>
      <c r="AK85" s="119"/>
      <c r="AL85" s="119"/>
    </row>
    <row r="86" spans="1:38" x14ac:dyDescent="0.25">
      <c r="A86" s="71"/>
      <c r="B86" s="71"/>
      <c r="C86" s="71"/>
      <c r="D86" s="71"/>
      <c r="E86" s="71"/>
      <c r="F86" s="71"/>
      <c r="G86" s="113"/>
      <c r="H86" s="114"/>
      <c r="I86" s="114"/>
      <c r="J86" s="115"/>
      <c r="K86" s="115"/>
      <c r="L86" s="115"/>
      <c r="M86" s="115"/>
      <c r="N86" s="114"/>
      <c r="O86" s="114"/>
      <c r="P86" s="122"/>
      <c r="Q86" s="122"/>
      <c r="R86" s="122"/>
      <c r="S86" s="122"/>
      <c r="T86" s="123"/>
      <c r="U86" s="122"/>
      <c r="V86" s="122"/>
      <c r="W86" s="122"/>
      <c r="X86" s="122"/>
      <c r="Y86" s="123"/>
      <c r="Z86" s="124"/>
      <c r="AA86" s="124"/>
      <c r="AB86" s="123"/>
      <c r="AC86" s="71"/>
      <c r="AD86" s="119"/>
      <c r="AE86" s="120"/>
      <c r="AF86" s="115"/>
      <c r="AG86" s="119"/>
      <c r="AH86" s="119"/>
      <c r="AI86" s="119"/>
      <c r="AJ86" s="119"/>
      <c r="AK86" s="119"/>
      <c r="AL86" s="119"/>
    </row>
    <row r="87" spans="1:38" x14ac:dyDescent="0.25">
      <c r="A87" s="71"/>
      <c r="B87" s="71"/>
      <c r="C87" s="71"/>
      <c r="D87" s="71"/>
      <c r="E87" s="71"/>
      <c r="F87" s="71"/>
      <c r="G87" s="113"/>
      <c r="H87" s="114"/>
      <c r="I87" s="114"/>
      <c r="J87" s="115"/>
      <c r="K87" s="115"/>
      <c r="L87" s="115"/>
      <c r="M87" s="115"/>
      <c r="N87" s="114"/>
      <c r="O87" s="114"/>
      <c r="P87" s="122"/>
      <c r="Q87" s="122"/>
      <c r="R87" s="122"/>
      <c r="S87" s="122"/>
      <c r="T87" s="123"/>
      <c r="U87" s="122"/>
      <c r="V87" s="122"/>
      <c r="W87" s="122"/>
      <c r="X87" s="122"/>
      <c r="Y87" s="123"/>
      <c r="Z87" s="124"/>
      <c r="AA87" s="124"/>
      <c r="AB87" s="123"/>
      <c r="AC87" s="71"/>
      <c r="AD87" s="119"/>
      <c r="AE87" s="120"/>
      <c r="AF87" s="115"/>
      <c r="AG87" s="119"/>
      <c r="AH87" s="119"/>
      <c r="AI87" s="119"/>
      <c r="AJ87" s="119"/>
      <c r="AK87" s="119"/>
      <c r="AL87" s="119"/>
    </row>
    <row r="88" spans="1:38" x14ac:dyDescent="0.25">
      <c r="A88" s="71"/>
      <c r="B88" s="71"/>
      <c r="C88" s="71"/>
      <c r="D88" s="71"/>
      <c r="E88" s="71"/>
      <c r="F88" s="71"/>
      <c r="G88" s="113"/>
      <c r="H88" s="114"/>
      <c r="I88" s="114"/>
      <c r="J88" s="115"/>
      <c r="K88" s="115"/>
      <c r="L88" s="115"/>
      <c r="M88" s="115"/>
      <c r="N88" s="114"/>
      <c r="O88" s="114"/>
      <c r="P88" s="122"/>
      <c r="Q88" s="122"/>
      <c r="R88" s="122"/>
      <c r="S88" s="122"/>
      <c r="T88" s="123"/>
      <c r="U88" s="122"/>
      <c r="V88" s="122"/>
      <c r="W88" s="122"/>
      <c r="X88" s="122"/>
      <c r="Y88" s="123"/>
      <c r="Z88" s="124"/>
      <c r="AA88" s="124"/>
      <c r="AB88" s="123"/>
      <c r="AC88" s="71"/>
      <c r="AD88" s="119"/>
      <c r="AE88" s="120"/>
      <c r="AF88" s="115"/>
      <c r="AG88" s="119"/>
      <c r="AH88" s="119"/>
      <c r="AI88" s="119"/>
      <c r="AJ88" s="119"/>
      <c r="AK88" s="119"/>
      <c r="AL88" s="119"/>
    </row>
    <row r="89" spans="1:38" x14ac:dyDescent="0.25">
      <c r="A89" s="71"/>
      <c r="B89" s="71"/>
      <c r="C89" s="71"/>
      <c r="D89" s="71"/>
      <c r="E89" s="71"/>
      <c r="F89" s="71"/>
      <c r="G89" s="113"/>
      <c r="H89" s="114"/>
      <c r="I89" s="114"/>
      <c r="J89" s="115"/>
      <c r="K89" s="115"/>
      <c r="L89" s="115"/>
      <c r="M89" s="115"/>
      <c r="N89" s="114"/>
      <c r="O89" s="114"/>
      <c r="P89" s="122"/>
      <c r="Q89" s="122"/>
      <c r="R89" s="122"/>
      <c r="S89" s="122"/>
      <c r="T89" s="123"/>
      <c r="U89" s="122"/>
      <c r="V89" s="122"/>
      <c r="W89" s="122"/>
      <c r="X89" s="122"/>
      <c r="Y89" s="123"/>
      <c r="Z89" s="124"/>
      <c r="AA89" s="124"/>
      <c r="AB89" s="123"/>
      <c r="AC89" s="71"/>
      <c r="AD89" s="119"/>
      <c r="AE89" s="120"/>
      <c r="AF89" s="115"/>
      <c r="AG89" s="119"/>
      <c r="AH89" s="119"/>
      <c r="AI89" s="119"/>
      <c r="AJ89" s="119"/>
      <c r="AK89" s="119"/>
      <c r="AL89" s="119"/>
    </row>
    <row r="90" spans="1:38" x14ac:dyDescent="0.25">
      <c r="A90" s="71"/>
      <c r="B90" s="71"/>
      <c r="C90" s="71"/>
      <c r="D90" s="71"/>
      <c r="E90" s="71"/>
      <c r="F90" s="71"/>
      <c r="G90" s="113"/>
      <c r="H90" s="114"/>
      <c r="I90" s="114"/>
      <c r="J90" s="115"/>
      <c r="K90" s="115"/>
      <c r="L90" s="115"/>
      <c r="M90" s="115"/>
      <c r="N90" s="114"/>
      <c r="O90" s="114"/>
      <c r="P90" s="122"/>
      <c r="Q90" s="122"/>
      <c r="R90" s="122"/>
      <c r="S90" s="122"/>
      <c r="T90" s="123"/>
      <c r="U90" s="122"/>
      <c r="V90" s="122"/>
      <c r="W90" s="122"/>
      <c r="X90" s="122"/>
      <c r="Y90" s="123"/>
      <c r="Z90" s="124"/>
      <c r="AA90" s="124"/>
      <c r="AB90" s="123"/>
      <c r="AC90" s="71"/>
      <c r="AD90" s="119"/>
      <c r="AE90" s="120"/>
      <c r="AF90" s="115"/>
      <c r="AG90" s="119"/>
      <c r="AH90" s="119"/>
      <c r="AI90" s="119"/>
      <c r="AJ90" s="119"/>
      <c r="AK90" s="119"/>
      <c r="AL90" s="119"/>
    </row>
    <row r="91" spans="1:38" x14ac:dyDescent="0.25">
      <c r="A91" s="71"/>
      <c r="B91" s="71"/>
      <c r="C91" s="71"/>
      <c r="D91" s="71"/>
      <c r="E91" s="71"/>
      <c r="F91" s="71"/>
      <c r="G91" s="113"/>
      <c r="H91" s="114"/>
      <c r="I91" s="114"/>
      <c r="J91" s="115"/>
      <c r="K91" s="115"/>
      <c r="L91" s="115"/>
      <c r="M91" s="115"/>
      <c r="N91" s="114"/>
      <c r="O91" s="114"/>
      <c r="P91" s="122"/>
      <c r="Q91" s="122"/>
      <c r="R91" s="122"/>
      <c r="S91" s="122"/>
      <c r="T91" s="123"/>
      <c r="U91" s="122"/>
      <c r="V91" s="122"/>
      <c r="W91" s="122"/>
      <c r="X91" s="122"/>
      <c r="Y91" s="123"/>
      <c r="Z91" s="124"/>
      <c r="AA91" s="124"/>
      <c r="AB91" s="123"/>
      <c r="AC91" s="71"/>
      <c r="AD91" s="119"/>
      <c r="AE91" s="120"/>
      <c r="AF91" s="115"/>
      <c r="AG91" s="119"/>
      <c r="AH91" s="119"/>
      <c r="AI91" s="119"/>
      <c r="AJ91" s="119"/>
      <c r="AK91" s="119"/>
      <c r="AL91" s="119"/>
    </row>
    <row r="92" spans="1:38" x14ac:dyDescent="0.25">
      <c r="A92" s="71"/>
      <c r="B92" s="71"/>
      <c r="C92" s="71"/>
      <c r="D92" s="71"/>
      <c r="E92" s="71"/>
      <c r="F92" s="71"/>
      <c r="G92" s="113"/>
      <c r="H92" s="114"/>
      <c r="I92" s="114"/>
      <c r="J92" s="115"/>
      <c r="K92" s="115"/>
      <c r="L92" s="115"/>
      <c r="M92" s="115"/>
      <c r="N92" s="114"/>
      <c r="O92" s="114"/>
      <c r="P92" s="122"/>
      <c r="Q92" s="122"/>
      <c r="R92" s="122"/>
      <c r="S92" s="122"/>
      <c r="T92" s="123"/>
      <c r="U92" s="122"/>
      <c r="V92" s="122"/>
      <c r="W92" s="122"/>
      <c r="X92" s="122"/>
      <c r="Y92" s="123"/>
      <c r="Z92" s="124"/>
      <c r="AA92" s="124"/>
      <c r="AB92" s="123"/>
      <c r="AC92" s="71"/>
      <c r="AD92" s="119"/>
      <c r="AE92" s="120"/>
      <c r="AF92" s="115"/>
      <c r="AG92" s="119"/>
      <c r="AH92" s="119"/>
      <c r="AI92" s="119"/>
      <c r="AJ92" s="119"/>
      <c r="AK92" s="119"/>
      <c r="AL92" s="119"/>
    </row>
    <row r="93" spans="1:38" x14ac:dyDescent="0.25">
      <c r="A93" s="71"/>
      <c r="B93" s="71"/>
      <c r="C93" s="71"/>
      <c r="D93" s="71"/>
      <c r="E93" s="71"/>
      <c r="F93" s="71"/>
      <c r="G93" s="113"/>
      <c r="H93" s="114"/>
      <c r="I93" s="114"/>
      <c r="J93" s="115"/>
      <c r="K93" s="115"/>
      <c r="L93" s="115"/>
      <c r="M93" s="115"/>
      <c r="N93" s="114"/>
      <c r="O93" s="114"/>
      <c r="P93" s="122"/>
      <c r="Q93" s="122"/>
      <c r="R93" s="122"/>
      <c r="S93" s="122"/>
      <c r="T93" s="123"/>
      <c r="U93" s="122"/>
      <c r="V93" s="122"/>
      <c r="W93" s="122"/>
      <c r="X93" s="122"/>
      <c r="Y93" s="123"/>
      <c r="Z93" s="124"/>
      <c r="AA93" s="124"/>
      <c r="AB93" s="123"/>
      <c r="AC93" s="71"/>
      <c r="AD93" s="119"/>
      <c r="AE93" s="120"/>
      <c r="AF93" s="115"/>
      <c r="AG93" s="119"/>
      <c r="AH93" s="119"/>
      <c r="AI93" s="119"/>
      <c r="AJ93" s="119"/>
      <c r="AK93" s="119"/>
      <c r="AL93" s="119"/>
    </row>
    <row r="94" spans="1:38" x14ac:dyDescent="0.25">
      <c r="A94" s="71"/>
      <c r="B94" s="71"/>
      <c r="C94" s="71"/>
      <c r="D94" s="71"/>
      <c r="E94" s="71"/>
      <c r="F94" s="71"/>
      <c r="G94" s="113"/>
      <c r="H94" s="114"/>
      <c r="I94" s="114"/>
      <c r="J94" s="115"/>
      <c r="K94" s="115"/>
      <c r="L94" s="115"/>
      <c r="M94" s="115"/>
      <c r="N94" s="114"/>
      <c r="O94" s="114"/>
      <c r="P94" s="122"/>
      <c r="Q94" s="122"/>
      <c r="R94" s="122"/>
      <c r="S94" s="122"/>
      <c r="T94" s="123"/>
      <c r="U94" s="122"/>
      <c r="V94" s="122"/>
      <c r="W94" s="122"/>
      <c r="X94" s="122"/>
      <c r="Y94" s="123"/>
      <c r="Z94" s="124"/>
      <c r="AA94" s="124"/>
      <c r="AB94" s="123"/>
      <c r="AC94" s="71"/>
      <c r="AD94" s="119"/>
      <c r="AE94" s="120"/>
      <c r="AF94" s="115"/>
      <c r="AG94" s="119"/>
      <c r="AH94" s="119"/>
      <c r="AI94" s="119"/>
      <c r="AJ94" s="119"/>
      <c r="AK94" s="119"/>
      <c r="AL94" s="119"/>
    </row>
    <row r="95" spans="1:38" x14ac:dyDescent="0.25">
      <c r="A95" s="71"/>
      <c r="B95" s="71"/>
      <c r="C95" s="71"/>
      <c r="D95" s="71"/>
      <c r="E95" s="71"/>
      <c r="F95" s="71"/>
      <c r="G95" s="113"/>
      <c r="H95" s="114"/>
      <c r="I95" s="114"/>
      <c r="J95" s="115"/>
      <c r="K95" s="115"/>
      <c r="L95" s="115"/>
      <c r="M95" s="115"/>
      <c r="N95" s="114"/>
      <c r="O95" s="114"/>
      <c r="P95" s="122"/>
      <c r="Q95" s="122"/>
      <c r="R95" s="122"/>
      <c r="S95" s="122"/>
      <c r="T95" s="123"/>
      <c r="U95" s="122"/>
      <c r="V95" s="122"/>
      <c r="W95" s="122"/>
      <c r="X95" s="122"/>
      <c r="Y95" s="123"/>
      <c r="Z95" s="124"/>
      <c r="AA95" s="124"/>
      <c r="AB95" s="123"/>
      <c r="AC95" s="71"/>
      <c r="AD95" s="119"/>
      <c r="AE95" s="120"/>
      <c r="AF95" s="115"/>
      <c r="AG95" s="119"/>
      <c r="AH95" s="119"/>
      <c r="AI95" s="119"/>
      <c r="AJ95" s="119"/>
      <c r="AK95" s="119"/>
      <c r="AL95" s="119"/>
    </row>
    <row r="96" spans="1:38" x14ac:dyDescent="0.25">
      <c r="A96" s="71"/>
      <c r="B96" s="71"/>
      <c r="C96" s="71"/>
      <c r="D96" s="71"/>
      <c r="E96" s="71"/>
      <c r="F96" s="71"/>
      <c r="G96" s="113"/>
      <c r="H96" s="114"/>
      <c r="I96" s="114"/>
      <c r="J96" s="115"/>
      <c r="K96" s="115"/>
      <c r="L96" s="115"/>
      <c r="M96" s="115"/>
      <c r="N96" s="114"/>
      <c r="O96" s="114"/>
      <c r="P96" s="122"/>
      <c r="Q96" s="122"/>
      <c r="R96" s="122"/>
      <c r="S96" s="122"/>
      <c r="T96" s="123"/>
      <c r="U96" s="122"/>
      <c r="V96" s="122"/>
      <c r="W96" s="122"/>
      <c r="X96" s="122"/>
      <c r="Y96" s="123"/>
      <c r="Z96" s="124"/>
      <c r="AA96" s="124"/>
      <c r="AB96" s="123"/>
      <c r="AC96" s="71"/>
      <c r="AD96" s="119"/>
      <c r="AE96" s="120"/>
      <c r="AF96" s="115"/>
      <c r="AG96" s="119"/>
      <c r="AH96" s="119"/>
      <c r="AI96" s="119"/>
      <c r="AJ96" s="119"/>
      <c r="AK96" s="119"/>
      <c r="AL96" s="119"/>
    </row>
    <row r="97" spans="1:38" x14ac:dyDescent="0.25">
      <c r="A97" s="71"/>
      <c r="B97" s="71"/>
      <c r="C97" s="71"/>
      <c r="D97" s="71"/>
      <c r="E97" s="71"/>
      <c r="F97" s="71"/>
      <c r="G97" s="113"/>
      <c r="H97" s="114"/>
      <c r="I97" s="114"/>
      <c r="J97" s="115"/>
      <c r="K97" s="115"/>
      <c r="L97" s="115"/>
      <c r="M97" s="115"/>
      <c r="N97" s="114"/>
      <c r="O97" s="114"/>
      <c r="P97" s="122"/>
      <c r="Q97" s="122"/>
      <c r="R97" s="122"/>
      <c r="S97" s="122"/>
      <c r="T97" s="123"/>
      <c r="U97" s="122"/>
      <c r="V97" s="122"/>
      <c r="W97" s="122"/>
      <c r="X97" s="122"/>
      <c r="Y97" s="123"/>
      <c r="Z97" s="124"/>
      <c r="AA97" s="124"/>
      <c r="AB97" s="123"/>
      <c r="AC97" s="71"/>
      <c r="AD97" s="119"/>
      <c r="AE97" s="120"/>
      <c r="AF97" s="115"/>
      <c r="AG97" s="119"/>
      <c r="AH97" s="119"/>
      <c r="AI97" s="119"/>
      <c r="AJ97" s="119"/>
      <c r="AK97" s="119"/>
      <c r="AL97" s="119"/>
    </row>
    <row r="98" spans="1:38" x14ac:dyDescent="0.25">
      <c r="A98" s="71"/>
      <c r="B98" s="71"/>
      <c r="C98" s="71"/>
      <c r="D98" s="71"/>
      <c r="E98" s="71"/>
      <c r="F98" s="71"/>
      <c r="G98" s="113"/>
      <c r="H98" s="114"/>
      <c r="I98" s="114"/>
      <c r="J98" s="115"/>
      <c r="K98" s="115"/>
      <c r="L98" s="115"/>
      <c r="M98" s="115"/>
      <c r="N98" s="114"/>
      <c r="O98" s="114"/>
      <c r="P98" s="122"/>
      <c r="Q98" s="122"/>
      <c r="R98" s="122"/>
      <c r="S98" s="122"/>
      <c r="T98" s="123"/>
      <c r="U98" s="122"/>
      <c r="V98" s="122"/>
      <c r="W98" s="122"/>
      <c r="X98" s="122"/>
      <c r="Y98" s="123"/>
      <c r="Z98" s="124"/>
      <c r="AA98" s="124"/>
      <c r="AB98" s="123"/>
      <c r="AC98" s="71"/>
      <c r="AD98" s="119"/>
      <c r="AE98" s="120"/>
      <c r="AF98" s="115"/>
      <c r="AG98" s="119"/>
      <c r="AH98" s="119"/>
      <c r="AI98" s="119"/>
      <c r="AJ98" s="119"/>
      <c r="AK98" s="119"/>
      <c r="AL98" s="119"/>
    </row>
    <row r="99" spans="1:38" x14ac:dyDescent="0.25">
      <c r="A99" s="71"/>
      <c r="B99" s="71"/>
      <c r="C99" s="71"/>
      <c r="D99" s="71"/>
      <c r="E99" s="71"/>
      <c r="F99" s="71"/>
      <c r="G99" s="113"/>
      <c r="H99" s="114"/>
      <c r="I99" s="114"/>
      <c r="J99" s="115"/>
      <c r="K99" s="115"/>
      <c r="L99" s="115"/>
      <c r="M99" s="115"/>
      <c r="N99" s="114"/>
      <c r="O99" s="114"/>
      <c r="P99" s="122"/>
      <c r="Q99" s="122"/>
      <c r="R99" s="122"/>
      <c r="S99" s="122"/>
      <c r="T99" s="123"/>
      <c r="U99" s="122"/>
      <c r="V99" s="122"/>
      <c r="W99" s="122"/>
      <c r="X99" s="122"/>
      <c r="Y99" s="123"/>
      <c r="Z99" s="124"/>
      <c r="AA99" s="124"/>
      <c r="AB99" s="123"/>
      <c r="AC99" s="71"/>
      <c r="AD99" s="119"/>
      <c r="AE99" s="120"/>
      <c r="AF99" s="115"/>
      <c r="AG99" s="119"/>
      <c r="AH99" s="119"/>
      <c r="AI99" s="119"/>
      <c r="AJ99" s="119"/>
      <c r="AK99" s="119"/>
      <c r="AL99" s="119"/>
    </row>
    <row r="100" spans="1:38" x14ac:dyDescent="0.25">
      <c r="A100" s="71"/>
      <c r="B100" s="71"/>
      <c r="C100" s="71"/>
      <c r="D100" s="71"/>
      <c r="E100" s="71"/>
      <c r="F100" s="71"/>
      <c r="G100" s="113"/>
      <c r="H100" s="114"/>
      <c r="I100" s="114"/>
      <c r="J100" s="115"/>
      <c r="K100" s="115"/>
      <c r="L100" s="115"/>
      <c r="M100" s="115"/>
      <c r="N100" s="114"/>
      <c r="O100" s="114"/>
      <c r="P100" s="122"/>
      <c r="Q100" s="122"/>
      <c r="R100" s="122"/>
      <c r="S100" s="122"/>
      <c r="T100" s="123"/>
      <c r="U100" s="122"/>
      <c r="V100" s="122"/>
      <c r="W100" s="122"/>
      <c r="X100" s="122"/>
      <c r="Y100" s="123"/>
      <c r="Z100" s="124"/>
      <c r="AA100" s="124"/>
      <c r="AB100" s="123"/>
      <c r="AC100" s="71"/>
      <c r="AD100" s="119"/>
      <c r="AE100" s="120"/>
      <c r="AF100" s="115"/>
      <c r="AG100" s="119"/>
      <c r="AH100" s="119"/>
      <c r="AI100" s="119"/>
      <c r="AJ100" s="119"/>
      <c r="AK100" s="119"/>
      <c r="AL100" s="119"/>
    </row>
    <row r="101" spans="1:38" x14ac:dyDescent="0.25">
      <c r="A101" s="71"/>
      <c r="B101" s="71"/>
      <c r="C101" s="71"/>
      <c r="D101" s="71"/>
      <c r="E101" s="71"/>
      <c r="F101" s="71"/>
      <c r="G101" s="113"/>
      <c r="H101" s="114"/>
      <c r="I101" s="114"/>
      <c r="J101" s="115"/>
      <c r="K101" s="115"/>
      <c r="L101" s="115"/>
      <c r="M101" s="115"/>
      <c r="N101" s="114"/>
      <c r="O101" s="114"/>
      <c r="P101" s="122"/>
      <c r="Q101" s="122"/>
      <c r="R101" s="122"/>
      <c r="S101" s="122"/>
      <c r="T101" s="123"/>
      <c r="U101" s="122"/>
      <c r="V101" s="122"/>
      <c r="W101" s="122"/>
      <c r="X101" s="122"/>
      <c r="Y101" s="123"/>
      <c r="Z101" s="124"/>
      <c r="AA101" s="124"/>
      <c r="AB101" s="123"/>
      <c r="AC101" s="71"/>
      <c r="AD101" s="119"/>
      <c r="AE101" s="120"/>
      <c r="AF101" s="115"/>
      <c r="AG101" s="119"/>
      <c r="AH101" s="119"/>
      <c r="AI101" s="119"/>
      <c r="AJ101" s="119"/>
      <c r="AK101" s="119"/>
      <c r="AL101" s="119"/>
    </row>
    <row r="102" spans="1:38" x14ac:dyDescent="0.25">
      <c r="A102" s="71"/>
      <c r="B102" s="71"/>
      <c r="C102" s="71"/>
      <c r="D102" s="71"/>
      <c r="E102" s="71"/>
      <c r="F102" s="71"/>
      <c r="G102" s="113"/>
      <c r="H102" s="114"/>
      <c r="I102" s="114"/>
      <c r="J102" s="115"/>
      <c r="K102" s="115"/>
      <c r="L102" s="115"/>
      <c r="M102" s="115"/>
      <c r="N102" s="114"/>
      <c r="O102" s="114"/>
      <c r="P102" s="122"/>
      <c r="Q102" s="122"/>
      <c r="R102" s="122"/>
      <c r="S102" s="122"/>
      <c r="T102" s="123"/>
      <c r="U102" s="122"/>
      <c r="V102" s="122"/>
      <c r="W102" s="122"/>
      <c r="X102" s="122"/>
      <c r="Y102" s="123"/>
      <c r="Z102" s="124"/>
      <c r="AA102" s="124"/>
      <c r="AB102" s="123"/>
      <c r="AC102" s="71"/>
      <c r="AD102" s="119"/>
      <c r="AE102" s="120"/>
      <c r="AF102" s="115"/>
      <c r="AG102" s="119"/>
      <c r="AH102" s="119"/>
      <c r="AI102" s="119"/>
      <c r="AJ102" s="119"/>
      <c r="AK102" s="119"/>
      <c r="AL102" s="119"/>
    </row>
    <row r="103" spans="1:38" x14ac:dyDescent="0.25">
      <c r="A103" s="71"/>
      <c r="B103" s="71"/>
      <c r="C103" s="71"/>
      <c r="D103" s="71"/>
      <c r="E103" s="71"/>
      <c r="F103" s="71"/>
      <c r="G103" s="113"/>
      <c r="H103" s="114"/>
      <c r="I103" s="114"/>
      <c r="J103" s="115"/>
      <c r="K103" s="115"/>
      <c r="L103" s="115"/>
      <c r="M103" s="115"/>
      <c r="N103" s="114"/>
      <c r="O103" s="114"/>
      <c r="P103" s="122"/>
      <c r="Q103" s="122"/>
      <c r="R103" s="122"/>
      <c r="S103" s="122"/>
      <c r="T103" s="123"/>
      <c r="U103" s="122"/>
      <c r="V103" s="122"/>
      <c r="W103" s="122"/>
      <c r="X103" s="122"/>
      <c r="Y103" s="123"/>
      <c r="Z103" s="124"/>
      <c r="AA103" s="124"/>
      <c r="AB103" s="123"/>
      <c r="AC103" s="71"/>
      <c r="AD103" s="119"/>
      <c r="AE103" s="120"/>
      <c r="AF103" s="115"/>
      <c r="AG103" s="119"/>
      <c r="AH103" s="119"/>
      <c r="AI103" s="119"/>
      <c r="AJ103" s="119"/>
      <c r="AK103" s="119"/>
      <c r="AL103" s="119"/>
    </row>
    <row r="104" spans="1:38" x14ac:dyDescent="0.25">
      <c r="A104" s="71"/>
      <c r="B104" s="71"/>
      <c r="C104" s="71"/>
      <c r="D104" s="71"/>
      <c r="E104" s="71"/>
      <c r="F104" s="71"/>
      <c r="G104" s="113"/>
      <c r="H104" s="114"/>
      <c r="I104" s="114"/>
      <c r="J104" s="115"/>
      <c r="K104" s="115"/>
      <c r="L104" s="115"/>
      <c r="M104" s="115"/>
      <c r="N104" s="114"/>
      <c r="O104" s="114"/>
      <c r="P104" s="122"/>
      <c r="Q104" s="122"/>
      <c r="R104" s="122"/>
      <c r="S104" s="122"/>
      <c r="T104" s="123"/>
      <c r="U104" s="122"/>
      <c r="V104" s="122"/>
      <c r="W104" s="122"/>
      <c r="X104" s="122"/>
      <c r="Y104" s="123"/>
      <c r="Z104" s="124"/>
      <c r="AA104" s="124"/>
      <c r="AB104" s="123"/>
      <c r="AC104" s="71"/>
      <c r="AD104" s="119"/>
      <c r="AE104" s="120"/>
      <c r="AF104" s="115"/>
      <c r="AG104" s="119"/>
      <c r="AH104" s="119"/>
      <c r="AI104" s="119"/>
      <c r="AJ104" s="119"/>
      <c r="AK104" s="119"/>
      <c r="AL104" s="119"/>
    </row>
    <row r="105" spans="1:38" x14ac:dyDescent="0.25">
      <c r="A105" s="71"/>
      <c r="B105" s="71"/>
      <c r="C105" s="71"/>
      <c r="D105" s="71"/>
      <c r="E105" s="71"/>
      <c r="F105" s="71"/>
      <c r="G105" s="113"/>
      <c r="H105" s="114"/>
      <c r="I105" s="114"/>
      <c r="J105" s="115"/>
      <c r="K105" s="115"/>
      <c r="L105" s="115"/>
      <c r="M105" s="115"/>
      <c r="N105" s="114"/>
      <c r="O105" s="114"/>
      <c r="P105" s="122"/>
      <c r="Q105" s="122"/>
      <c r="R105" s="122"/>
      <c r="S105" s="122"/>
      <c r="T105" s="123"/>
      <c r="U105" s="122"/>
      <c r="V105" s="122"/>
      <c r="W105" s="122"/>
      <c r="X105" s="122"/>
      <c r="Y105" s="123"/>
      <c r="Z105" s="124"/>
      <c r="AA105" s="124"/>
      <c r="AB105" s="123"/>
      <c r="AC105" s="71"/>
      <c r="AD105" s="119"/>
      <c r="AE105" s="120"/>
      <c r="AF105" s="115"/>
      <c r="AG105" s="119"/>
      <c r="AH105" s="119"/>
      <c r="AI105" s="119"/>
      <c r="AJ105" s="119"/>
      <c r="AK105" s="119"/>
      <c r="AL105" s="119"/>
    </row>
    <row r="106" spans="1:38" x14ac:dyDescent="0.25">
      <c r="A106" s="71"/>
      <c r="B106" s="71"/>
      <c r="C106" s="71"/>
      <c r="D106" s="71"/>
      <c r="E106" s="71"/>
      <c r="F106" s="71"/>
      <c r="G106" s="113"/>
      <c r="H106" s="114"/>
      <c r="I106" s="114"/>
      <c r="J106" s="115"/>
      <c r="K106" s="115"/>
      <c r="L106" s="115"/>
      <c r="M106" s="115"/>
      <c r="N106" s="114"/>
      <c r="O106" s="114"/>
      <c r="P106" s="122"/>
      <c r="Q106" s="122"/>
      <c r="R106" s="122"/>
      <c r="S106" s="122"/>
      <c r="T106" s="123"/>
      <c r="U106" s="122"/>
      <c r="V106" s="122"/>
      <c r="W106" s="122"/>
      <c r="X106" s="122"/>
      <c r="Y106" s="123"/>
      <c r="Z106" s="124"/>
      <c r="AA106" s="124"/>
      <c r="AB106" s="123"/>
      <c r="AC106" s="71"/>
      <c r="AD106" s="119"/>
      <c r="AE106" s="120"/>
      <c r="AF106" s="115"/>
      <c r="AG106" s="119"/>
      <c r="AH106" s="119"/>
      <c r="AI106" s="119"/>
      <c r="AJ106" s="119"/>
      <c r="AK106" s="119"/>
      <c r="AL106" s="119"/>
    </row>
    <row r="107" spans="1:38" x14ac:dyDescent="0.25">
      <c r="A107" s="71"/>
      <c r="B107" s="71"/>
      <c r="C107" s="71"/>
      <c r="D107" s="71"/>
      <c r="E107" s="71"/>
      <c r="F107" s="71"/>
      <c r="G107" s="113"/>
      <c r="H107" s="114"/>
      <c r="I107" s="114"/>
      <c r="J107" s="115"/>
      <c r="K107" s="115"/>
      <c r="L107" s="115"/>
      <c r="M107" s="115"/>
      <c r="N107" s="114"/>
      <c r="O107" s="114"/>
      <c r="P107" s="122"/>
      <c r="Q107" s="122"/>
      <c r="R107" s="122"/>
      <c r="S107" s="122"/>
      <c r="T107" s="123"/>
      <c r="U107" s="122"/>
      <c r="V107" s="122"/>
      <c r="W107" s="122"/>
      <c r="X107" s="122"/>
      <c r="Y107" s="123"/>
      <c r="Z107" s="124"/>
      <c r="AA107" s="124"/>
      <c r="AB107" s="123"/>
      <c r="AC107" s="71"/>
      <c r="AD107" s="119"/>
      <c r="AE107" s="120"/>
      <c r="AF107" s="115"/>
      <c r="AG107" s="119"/>
      <c r="AH107" s="119"/>
      <c r="AI107" s="119"/>
      <c r="AJ107" s="119"/>
      <c r="AK107" s="119"/>
      <c r="AL107" s="119"/>
    </row>
    <row r="108" spans="1:38" x14ac:dyDescent="0.25">
      <c r="A108" s="71"/>
      <c r="B108" s="71"/>
      <c r="C108" s="71"/>
      <c r="D108" s="71"/>
      <c r="E108" s="71"/>
      <c r="F108" s="71"/>
      <c r="G108" s="113"/>
      <c r="H108" s="114"/>
      <c r="I108" s="114"/>
      <c r="J108" s="115"/>
      <c r="K108" s="115"/>
      <c r="L108" s="115"/>
      <c r="M108" s="115"/>
      <c r="N108" s="114"/>
      <c r="O108" s="114"/>
      <c r="P108" s="122"/>
      <c r="Q108" s="122"/>
      <c r="R108" s="122"/>
      <c r="S108" s="122"/>
      <c r="T108" s="123"/>
      <c r="U108" s="122"/>
      <c r="V108" s="122"/>
      <c r="W108" s="122"/>
      <c r="X108" s="122"/>
      <c r="Y108" s="123"/>
      <c r="Z108" s="124"/>
      <c r="AA108" s="124"/>
      <c r="AB108" s="123"/>
      <c r="AC108" s="71"/>
      <c r="AD108" s="119"/>
      <c r="AE108" s="120"/>
      <c r="AF108" s="115"/>
      <c r="AG108" s="119"/>
      <c r="AH108" s="119"/>
      <c r="AI108" s="119"/>
      <c r="AJ108" s="119"/>
      <c r="AK108" s="119"/>
      <c r="AL108" s="119"/>
    </row>
    <row r="109" spans="1:38" x14ac:dyDescent="0.25">
      <c r="A109" s="71"/>
      <c r="B109" s="71"/>
      <c r="C109" s="71"/>
      <c r="D109" s="71"/>
      <c r="E109" s="71"/>
      <c r="F109" s="71"/>
      <c r="G109" s="113"/>
      <c r="H109" s="114"/>
      <c r="I109" s="114"/>
      <c r="J109" s="115"/>
      <c r="K109" s="115"/>
      <c r="L109" s="115"/>
      <c r="M109" s="115"/>
      <c r="N109" s="114"/>
      <c r="O109" s="114"/>
      <c r="P109" s="122"/>
      <c r="Q109" s="122"/>
      <c r="R109" s="122"/>
      <c r="S109" s="122"/>
      <c r="T109" s="123"/>
      <c r="U109" s="122"/>
      <c r="V109" s="122"/>
      <c r="W109" s="122"/>
      <c r="X109" s="122"/>
      <c r="Y109" s="123"/>
      <c r="Z109" s="124"/>
      <c r="AA109" s="124"/>
      <c r="AB109" s="123"/>
      <c r="AC109" s="71"/>
      <c r="AD109" s="119"/>
      <c r="AE109" s="120"/>
      <c r="AF109" s="115"/>
      <c r="AG109" s="119"/>
      <c r="AH109" s="119"/>
      <c r="AI109" s="119"/>
      <c r="AJ109" s="119"/>
      <c r="AK109" s="119"/>
      <c r="AL109" s="119"/>
    </row>
    <row r="110" spans="1:38" x14ac:dyDescent="0.25">
      <c r="A110" s="71"/>
      <c r="B110" s="71"/>
      <c r="C110" s="71"/>
      <c r="D110" s="71"/>
      <c r="E110" s="71"/>
      <c r="F110" s="71"/>
      <c r="G110" s="113"/>
      <c r="H110" s="114"/>
      <c r="I110" s="114"/>
      <c r="J110" s="115"/>
      <c r="K110" s="115"/>
      <c r="L110" s="115"/>
      <c r="M110" s="115"/>
      <c r="N110" s="114"/>
      <c r="O110" s="114"/>
      <c r="P110" s="122"/>
      <c r="Q110" s="122"/>
      <c r="R110" s="122"/>
      <c r="S110" s="122"/>
      <c r="T110" s="123"/>
      <c r="U110" s="122"/>
      <c r="V110" s="122"/>
      <c r="W110" s="122"/>
      <c r="X110" s="122"/>
      <c r="Y110" s="123"/>
      <c r="Z110" s="124"/>
      <c r="AA110" s="124"/>
      <c r="AB110" s="123"/>
      <c r="AC110" s="71"/>
      <c r="AD110" s="119"/>
      <c r="AE110" s="120"/>
      <c r="AF110" s="115"/>
      <c r="AG110" s="119"/>
      <c r="AH110" s="119"/>
      <c r="AI110" s="119"/>
      <c r="AJ110" s="119"/>
      <c r="AK110" s="119"/>
      <c r="AL110" s="119"/>
    </row>
    <row r="111" spans="1:38" x14ac:dyDescent="0.25">
      <c r="A111" s="71"/>
      <c r="B111" s="71"/>
      <c r="C111" s="71"/>
      <c r="D111" s="71"/>
      <c r="E111" s="71"/>
      <c r="F111" s="71"/>
      <c r="G111" s="113"/>
      <c r="H111" s="114"/>
      <c r="I111" s="114"/>
      <c r="J111" s="115"/>
      <c r="K111" s="115"/>
      <c r="L111" s="115"/>
      <c r="M111" s="115"/>
      <c r="N111" s="114"/>
      <c r="O111" s="114"/>
      <c r="P111" s="122"/>
      <c r="Q111" s="122"/>
      <c r="R111" s="122"/>
      <c r="S111" s="122"/>
      <c r="T111" s="123"/>
      <c r="U111" s="122"/>
      <c r="V111" s="122"/>
      <c r="W111" s="122"/>
      <c r="X111" s="122"/>
      <c r="Y111" s="123"/>
      <c r="Z111" s="124"/>
      <c r="AA111" s="124"/>
      <c r="AB111" s="123"/>
      <c r="AC111" s="71"/>
      <c r="AD111" s="119"/>
      <c r="AE111" s="120"/>
      <c r="AF111" s="115"/>
      <c r="AG111" s="119"/>
      <c r="AH111" s="119"/>
      <c r="AI111" s="119"/>
      <c r="AJ111" s="119"/>
      <c r="AK111" s="119"/>
      <c r="AL111" s="119"/>
    </row>
    <row r="112" spans="1:38" x14ac:dyDescent="0.25">
      <c r="A112" s="71"/>
      <c r="B112" s="71"/>
      <c r="C112" s="71"/>
      <c r="D112" s="71"/>
      <c r="E112" s="71"/>
      <c r="F112" s="71"/>
      <c r="G112" s="113"/>
      <c r="H112" s="114"/>
      <c r="I112" s="114"/>
      <c r="J112" s="115"/>
      <c r="K112" s="115"/>
      <c r="L112" s="115"/>
      <c r="M112" s="115"/>
      <c r="N112" s="114"/>
      <c r="O112" s="114"/>
      <c r="P112" s="122"/>
      <c r="Q112" s="122"/>
      <c r="R112" s="122"/>
      <c r="S112" s="122"/>
      <c r="T112" s="123"/>
      <c r="U112" s="122"/>
      <c r="V112" s="122"/>
      <c r="W112" s="122"/>
      <c r="X112" s="122"/>
      <c r="Y112" s="123"/>
      <c r="Z112" s="124"/>
      <c r="AA112" s="124"/>
      <c r="AB112" s="123"/>
      <c r="AC112" s="71"/>
      <c r="AD112" s="119"/>
      <c r="AE112" s="120"/>
      <c r="AF112" s="115"/>
      <c r="AG112" s="119"/>
      <c r="AH112" s="119"/>
      <c r="AI112" s="119"/>
      <c r="AJ112" s="119"/>
      <c r="AK112" s="119"/>
      <c r="AL112" s="119"/>
    </row>
    <row r="113" spans="1:38" x14ac:dyDescent="0.25">
      <c r="A113" s="71"/>
      <c r="B113" s="71"/>
      <c r="C113" s="71"/>
      <c r="D113" s="71"/>
      <c r="E113" s="71"/>
      <c r="F113" s="71"/>
      <c r="G113" s="113"/>
      <c r="H113" s="114"/>
      <c r="I113" s="114"/>
      <c r="J113" s="115"/>
      <c r="K113" s="115"/>
      <c r="L113" s="115"/>
      <c r="M113" s="115"/>
      <c r="N113" s="114"/>
      <c r="O113" s="114"/>
      <c r="P113" s="122"/>
      <c r="Q113" s="122"/>
      <c r="R113" s="122"/>
      <c r="S113" s="122"/>
      <c r="T113" s="123"/>
      <c r="U113" s="122"/>
      <c r="V113" s="122"/>
      <c r="W113" s="122"/>
      <c r="X113" s="122"/>
      <c r="Y113" s="123"/>
      <c r="Z113" s="124"/>
      <c r="AA113" s="124"/>
      <c r="AB113" s="123"/>
      <c r="AC113" s="71"/>
      <c r="AD113" s="119"/>
      <c r="AE113" s="120"/>
      <c r="AF113" s="115"/>
      <c r="AG113" s="119"/>
      <c r="AH113" s="119"/>
      <c r="AI113" s="119"/>
      <c r="AJ113" s="119"/>
      <c r="AK113" s="119"/>
      <c r="AL113" s="119"/>
    </row>
    <row r="114" spans="1:38" x14ac:dyDescent="0.25">
      <c r="A114" s="71"/>
      <c r="B114" s="71"/>
      <c r="C114" s="71"/>
      <c r="D114" s="71"/>
      <c r="E114" s="71"/>
      <c r="F114" s="71"/>
      <c r="G114" s="113"/>
      <c r="H114" s="114"/>
      <c r="I114" s="114"/>
      <c r="J114" s="115"/>
      <c r="K114" s="115"/>
      <c r="L114" s="115"/>
      <c r="M114" s="115"/>
      <c r="N114" s="114"/>
      <c r="O114" s="114"/>
      <c r="P114" s="122"/>
      <c r="Q114" s="122"/>
      <c r="R114" s="122"/>
      <c r="S114" s="122"/>
      <c r="T114" s="123"/>
      <c r="U114" s="122"/>
      <c r="V114" s="122"/>
      <c r="W114" s="122"/>
      <c r="X114" s="122"/>
      <c r="Y114" s="123"/>
      <c r="Z114" s="124"/>
      <c r="AA114" s="124"/>
      <c r="AB114" s="123"/>
      <c r="AC114" s="71"/>
      <c r="AD114" s="119"/>
      <c r="AE114" s="120"/>
      <c r="AF114" s="115"/>
      <c r="AG114" s="119"/>
      <c r="AH114" s="119"/>
      <c r="AI114" s="119"/>
      <c r="AJ114" s="119"/>
      <c r="AK114" s="119"/>
      <c r="AL114" s="119"/>
    </row>
    <row r="115" spans="1:38" x14ac:dyDescent="0.25">
      <c r="A115" s="71"/>
      <c r="B115" s="71"/>
      <c r="C115" s="71"/>
      <c r="D115" s="71"/>
      <c r="E115" s="71"/>
      <c r="F115" s="71"/>
      <c r="G115" s="113"/>
      <c r="H115" s="114"/>
      <c r="I115" s="114"/>
      <c r="J115" s="115"/>
      <c r="K115" s="115"/>
      <c r="L115" s="115"/>
      <c r="M115" s="115"/>
      <c r="N115" s="114"/>
      <c r="O115" s="114"/>
      <c r="P115" s="122"/>
      <c r="Q115" s="122"/>
      <c r="R115" s="122"/>
      <c r="S115" s="122"/>
      <c r="T115" s="123"/>
      <c r="U115" s="122"/>
      <c r="V115" s="122"/>
      <c r="W115" s="122"/>
      <c r="X115" s="122"/>
      <c r="Y115" s="123"/>
      <c r="Z115" s="124"/>
      <c r="AA115" s="124"/>
      <c r="AB115" s="123"/>
      <c r="AC115" s="71"/>
      <c r="AD115" s="119"/>
      <c r="AE115" s="120"/>
      <c r="AF115" s="115"/>
      <c r="AG115" s="119"/>
      <c r="AH115" s="119"/>
      <c r="AI115" s="119"/>
      <c r="AJ115" s="119"/>
      <c r="AK115" s="119"/>
      <c r="AL115" s="119"/>
    </row>
    <row r="116" spans="1:38" x14ac:dyDescent="0.25">
      <c r="A116" s="71"/>
      <c r="B116" s="71"/>
      <c r="C116" s="71"/>
      <c r="D116" s="71"/>
      <c r="E116" s="71"/>
      <c r="F116" s="71"/>
      <c r="G116" s="113"/>
      <c r="H116" s="114"/>
      <c r="I116" s="114"/>
      <c r="J116" s="115"/>
      <c r="K116" s="115"/>
      <c r="L116" s="115"/>
      <c r="M116" s="115"/>
      <c r="N116" s="114"/>
      <c r="O116" s="114"/>
      <c r="P116" s="122"/>
      <c r="Q116" s="122"/>
      <c r="R116" s="122"/>
      <c r="S116" s="122"/>
      <c r="T116" s="123"/>
      <c r="U116" s="122"/>
      <c r="V116" s="122"/>
      <c r="W116" s="122"/>
      <c r="X116" s="122"/>
      <c r="Y116" s="123"/>
      <c r="Z116" s="124"/>
      <c r="AA116" s="124"/>
      <c r="AB116" s="123"/>
      <c r="AC116" s="71"/>
      <c r="AD116" s="119"/>
      <c r="AE116" s="120"/>
      <c r="AF116" s="115"/>
      <c r="AG116" s="119"/>
      <c r="AH116" s="119"/>
      <c r="AI116" s="119"/>
      <c r="AJ116" s="119"/>
      <c r="AK116" s="119"/>
      <c r="AL116" s="119"/>
    </row>
    <row r="117" spans="1:38" x14ac:dyDescent="0.25">
      <c r="A117" s="71"/>
      <c r="B117" s="71"/>
      <c r="C117" s="71"/>
      <c r="D117" s="71"/>
      <c r="E117" s="71"/>
      <c r="F117" s="71"/>
      <c r="G117" s="113"/>
      <c r="H117" s="114"/>
      <c r="I117" s="114"/>
      <c r="J117" s="115"/>
      <c r="K117" s="115"/>
      <c r="L117" s="115"/>
      <c r="M117" s="115"/>
      <c r="N117" s="114"/>
      <c r="O117" s="114"/>
      <c r="P117" s="122"/>
      <c r="Q117" s="122"/>
      <c r="R117" s="122"/>
      <c r="S117" s="122"/>
      <c r="T117" s="123"/>
      <c r="U117" s="122"/>
      <c r="V117" s="122"/>
      <c r="W117" s="122"/>
      <c r="X117" s="122"/>
      <c r="Y117" s="123"/>
      <c r="Z117" s="124"/>
      <c r="AA117" s="124"/>
      <c r="AB117" s="123"/>
      <c r="AC117" s="71"/>
      <c r="AD117" s="119"/>
      <c r="AE117" s="120"/>
      <c r="AF117" s="115"/>
      <c r="AG117" s="119"/>
      <c r="AH117" s="119"/>
      <c r="AI117" s="119"/>
      <c r="AJ117" s="119"/>
      <c r="AK117" s="119"/>
      <c r="AL117" s="119"/>
    </row>
    <row r="118" spans="1:38" x14ac:dyDescent="0.25">
      <c r="A118" s="71"/>
      <c r="B118" s="71"/>
      <c r="C118" s="71"/>
      <c r="D118" s="71"/>
      <c r="E118" s="71"/>
      <c r="F118" s="71"/>
      <c r="G118" s="113"/>
      <c r="H118" s="114"/>
      <c r="I118" s="114"/>
      <c r="J118" s="115"/>
      <c r="K118" s="115"/>
      <c r="L118" s="115"/>
      <c r="M118" s="115"/>
      <c r="N118" s="114"/>
      <c r="O118" s="114"/>
      <c r="P118" s="122"/>
      <c r="Q118" s="122"/>
      <c r="R118" s="122"/>
      <c r="S118" s="122"/>
      <c r="T118" s="123"/>
      <c r="U118" s="122"/>
      <c r="V118" s="122"/>
      <c r="W118" s="122"/>
      <c r="X118" s="122"/>
      <c r="Y118" s="123"/>
      <c r="Z118" s="124"/>
      <c r="AA118" s="124"/>
      <c r="AB118" s="123"/>
      <c r="AC118" s="71"/>
      <c r="AD118" s="119"/>
      <c r="AE118" s="120"/>
      <c r="AF118" s="115"/>
      <c r="AG118" s="119"/>
      <c r="AH118" s="119"/>
      <c r="AI118" s="119"/>
      <c r="AJ118" s="119"/>
      <c r="AK118" s="119"/>
      <c r="AL118" s="119"/>
    </row>
    <row r="119" spans="1:38" x14ac:dyDescent="0.25">
      <c r="A119" s="71"/>
      <c r="B119" s="71"/>
      <c r="C119" s="71"/>
      <c r="D119" s="71"/>
      <c r="E119" s="71"/>
      <c r="F119" s="71"/>
      <c r="G119" s="113"/>
      <c r="H119" s="114"/>
      <c r="I119" s="114"/>
      <c r="J119" s="115"/>
      <c r="K119" s="115"/>
      <c r="L119" s="115"/>
      <c r="M119" s="115"/>
      <c r="N119" s="114"/>
      <c r="O119" s="114"/>
      <c r="P119" s="122"/>
      <c r="Q119" s="122"/>
      <c r="R119" s="122"/>
      <c r="S119" s="122"/>
      <c r="T119" s="123"/>
      <c r="U119" s="122"/>
      <c r="V119" s="122"/>
      <c r="W119" s="122"/>
      <c r="X119" s="122"/>
      <c r="Y119" s="123"/>
      <c r="Z119" s="124"/>
      <c r="AA119" s="124"/>
      <c r="AB119" s="123"/>
      <c r="AC119" s="71"/>
      <c r="AD119" s="119"/>
      <c r="AE119" s="120"/>
      <c r="AF119" s="115"/>
      <c r="AG119" s="119"/>
      <c r="AH119" s="119"/>
      <c r="AI119" s="119"/>
      <c r="AJ119" s="119"/>
      <c r="AK119" s="119"/>
      <c r="AL119" s="119"/>
    </row>
    <row r="120" spans="1:38" x14ac:dyDescent="0.25">
      <c r="A120" s="71"/>
      <c r="B120" s="71"/>
      <c r="C120" s="71"/>
      <c r="D120" s="71"/>
      <c r="E120" s="71"/>
      <c r="F120" s="71"/>
      <c r="G120" s="113"/>
      <c r="H120" s="114"/>
      <c r="I120" s="114"/>
      <c r="J120" s="115"/>
      <c r="K120" s="115"/>
      <c r="L120" s="115"/>
      <c r="M120" s="115"/>
      <c r="N120" s="114"/>
      <c r="O120" s="114"/>
      <c r="P120" s="122"/>
      <c r="Q120" s="122"/>
      <c r="R120" s="122"/>
      <c r="S120" s="122"/>
      <c r="T120" s="123"/>
      <c r="U120" s="122"/>
      <c r="V120" s="122"/>
      <c r="W120" s="122"/>
      <c r="X120" s="122"/>
      <c r="Y120" s="123"/>
      <c r="Z120" s="124"/>
      <c r="AA120" s="124"/>
      <c r="AB120" s="123"/>
      <c r="AC120" s="71"/>
      <c r="AD120" s="119"/>
      <c r="AE120" s="120"/>
      <c r="AF120" s="115"/>
      <c r="AG120" s="119"/>
      <c r="AH120" s="119"/>
      <c r="AI120" s="119"/>
      <c r="AJ120" s="119"/>
      <c r="AK120" s="119"/>
      <c r="AL120" s="119"/>
    </row>
    <row r="121" spans="1:38" x14ac:dyDescent="0.25">
      <c r="A121" s="71"/>
      <c r="B121" s="71"/>
      <c r="C121" s="71"/>
      <c r="D121" s="71"/>
      <c r="E121" s="71"/>
      <c r="F121" s="71"/>
      <c r="G121" s="113"/>
      <c r="H121" s="114"/>
      <c r="I121" s="114"/>
      <c r="J121" s="115"/>
      <c r="K121" s="115"/>
      <c r="L121" s="115"/>
      <c r="M121" s="115"/>
      <c r="N121" s="114"/>
      <c r="O121" s="114"/>
      <c r="P121" s="122"/>
      <c r="Q121" s="122"/>
      <c r="R121" s="122"/>
      <c r="S121" s="122"/>
      <c r="T121" s="123"/>
      <c r="U121" s="122"/>
      <c r="V121" s="122"/>
      <c r="W121" s="122"/>
      <c r="X121" s="122"/>
      <c r="Y121" s="123"/>
      <c r="Z121" s="124"/>
      <c r="AA121" s="124"/>
      <c r="AB121" s="123"/>
      <c r="AC121" s="71"/>
      <c r="AD121" s="119"/>
      <c r="AE121" s="120"/>
      <c r="AF121" s="115"/>
      <c r="AG121" s="119"/>
      <c r="AH121" s="119"/>
      <c r="AI121" s="119"/>
      <c r="AJ121" s="119"/>
      <c r="AK121" s="119"/>
      <c r="AL121" s="119"/>
    </row>
    <row r="122" spans="1:38" x14ac:dyDescent="0.25">
      <c r="A122" s="71"/>
      <c r="B122" s="71"/>
      <c r="C122" s="71"/>
      <c r="D122" s="71"/>
      <c r="E122" s="71"/>
      <c r="F122" s="71"/>
      <c r="G122" s="113"/>
      <c r="H122" s="114"/>
      <c r="I122" s="114"/>
      <c r="J122" s="115"/>
      <c r="K122" s="115"/>
      <c r="L122" s="115"/>
      <c r="M122" s="115"/>
      <c r="N122" s="114"/>
      <c r="O122" s="114"/>
      <c r="P122" s="122"/>
      <c r="Q122" s="122"/>
      <c r="R122" s="122"/>
      <c r="S122" s="122"/>
      <c r="T122" s="123"/>
      <c r="U122" s="122"/>
      <c r="V122" s="122"/>
      <c r="W122" s="122"/>
      <c r="X122" s="122"/>
      <c r="Y122" s="123"/>
      <c r="Z122" s="124"/>
      <c r="AA122" s="124"/>
      <c r="AB122" s="123"/>
      <c r="AC122" s="71"/>
      <c r="AD122" s="119"/>
      <c r="AE122" s="120"/>
      <c r="AF122" s="115"/>
      <c r="AG122" s="119"/>
      <c r="AH122" s="119"/>
      <c r="AI122" s="119"/>
      <c r="AJ122" s="119"/>
      <c r="AK122" s="119"/>
      <c r="AL122" s="119"/>
    </row>
    <row r="123" spans="1:38" x14ac:dyDescent="0.25">
      <c r="A123" s="71"/>
      <c r="B123" s="71"/>
      <c r="C123" s="71"/>
      <c r="D123" s="71"/>
      <c r="E123" s="71"/>
      <c r="F123" s="71"/>
      <c r="G123" s="113"/>
      <c r="H123" s="114"/>
      <c r="I123" s="114"/>
      <c r="J123" s="115"/>
      <c r="K123" s="115"/>
      <c r="L123" s="115"/>
      <c r="M123" s="115"/>
      <c r="N123" s="114"/>
      <c r="O123" s="114"/>
      <c r="P123" s="122"/>
      <c r="Q123" s="122"/>
      <c r="R123" s="122"/>
      <c r="S123" s="122"/>
      <c r="T123" s="123"/>
      <c r="U123" s="122"/>
      <c r="V123" s="122"/>
      <c r="W123" s="122"/>
      <c r="X123" s="122"/>
      <c r="Y123" s="123"/>
      <c r="Z123" s="124"/>
      <c r="AA123" s="124"/>
      <c r="AB123" s="123"/>
      <c r="AC123" s="71"/>
      <c r="AD123" s="119"/>
      <c r="AE123" s="120"/>
      <c r="AF123" s="115"/>
      <c r="AG123" s="119"/>
      <c r="AH123" s="119"/>
      <c r="AI123" s="119"/>
      <c r="AJ123" s="119"/>
      <c r="AK123" s="119"/>
      <c r="AL123" s="119"/>
    </row>
    <row r="124" spans="1:38" x14ac:dyDescent="0.25">
      <c r="A124" s="71"/>
      <c r="B124" s="71"/>
      <c r="C124" s="71"/>
      <c r="D124" s="71"/>
      <c r="E124" s="71"/>
      <c r="F124" s="71"/>
      <c r="G124" s="113"/>
      <c r="H124" s="114"/>
      <c r="I124" s="114"/>
      <c r="J124" s="115"/>
      <c r="K124" s="115"/>
      <c r="L124" s="115"/>
      <c r="M124" s="115"/>
      <c r="N124" s="114"/>
      <c r="O124" s="114"/>
      <c r="P124" s="122"/>
      <c r="Q124" s="122"/>
      <c r="R124" s="122"/>
      <c r="S124" s="122"/>
      <c r="T124" s="123"/>
      <c r="U124" s="122"/>
      <c r="V124" s="122"/>
      <c r="W124" s="122"/>
      <c r="X124" s="122"/>
      <c r="Y124" s="123"/>
      <c r="Z124" s="124"/>
      <c r="AA124" s="124"/>
      <c r="AB124" s="123"/>
      <c r="AC124" s="71"/>
      <c r="AD124" s="119"/>
      <c r="AE124" s="120"/>
      <c r="AF124" s="115"/>
      <c r="AG124" s="119"/>
      <c r="AH124" s="119"/>
      <c r="AI124" s="119"/>
      <c r="AJ124" s="119"/>
      <c r="AK124" s="119"/>
      <c r="AL124" s="119"/>
    </row>
    <row r="125" spans="1:38" x14ac:dyDescent="0.25">
      <c r="A125" s="71"/>
      <c r="B125" s="71"/>
      <c r="C125" s="71"/>
      <c r="D125" s="71"/>
      <c r="E125" s="71"/>
      <c r="F125" s="71"/>
      <c r="G125" s="113"/>
      <c r="H125" s="114"/>
      <c r="I125" s="114"/>
      <c r="J125" s="115"/>
      <c r="K125" s="115"/>
      <c r="L125" s="115"/>
      <c r="M125" s="115"/>
      <c r="N125" s="114"/>
      <c r="O125" s="114"/>
      <c r="P125" s="122"/>
      <c r="Q125" s="122"/>
      <c r="R125" s="122"/>
      <c r="S125" s="122"/>
      <c r="T125" s="123"/>
      <c r="U125" s="122"/>
      <c r="V125" s="122"/>
      <c r="W125" s="122"/>
      <c r="X125" s="122"/>
      <c r="Y125" s="123"/>
      <c r="Z125" s="124"/>
      <c r="AA125" s="124"/>
      <c r="AB125" s="123"/>
      <c r="AC125" s="71"/>
      <c r="AD125" s="119"/>
      <c r="AE125" s="120"/>
      <c r="AF125" s="115"/>
      <c r="AG125" s="119"/>
      <c r="AH125" s="119"/>
      <c r="AI125" s="119"/>
      <c r="AJ125" s="119"/>
      <c r="AK125" s="119"/>
      <c r="AL125" s="119"/>
    </row>
    <row r="126" spans="1:38" x14ac:dyDescent="0.25">
      <c r="A126" s="71"/>
      <c r="B126" s="71"/>
      <c r="C126" s="71"/>
      <c r="D126" s="71"/>
      <c r="E126" s="71"/>
      <c r="F126" s="71"/>
      <c r="G126" s="113"/>
      <c r="H126" s="114"/>
      <c r="I126" s="114"/>
      <c r="J126" s="115"/>
      <c r="K126" s="115"/>
      <c r="L126" s="115"/>
      <c r="M126" s="115"/>
      <c r="N126" s="114"/>
      <c r="O126" s="114"/>
      <c r="P126" s="122"/>
      <c r="Q126" s="122"/>
      <c r="R126" s="122"/>
      <c r="S126" s="122"/>
      <c r="T126" s="123"/>
      <c r="U126" s="122"/>
      <c r="V126" s="122"/>
      <c r="W126" s="122"/>
      <c r="X126" s="122"/>
      <c r="Y126" s="123"/>
      <c r="Z126" s="124"/>
      <c r="AA126" s="124"/>
      <c r="AB126" s="123"/>
      <c r="AC126" s="71"/>
      <c r="AD126" s="119"/>
      <c r="AE126" s="120"/>
      <c r="AF126" s="115"/>
      <c r="AG126" s="119"/>
      <c r="AH126" s="119"/>
      <c r="AI126" s="119"/>
      <c r="AJ126" s="119"/>
      <c r="AK126" s="119"/>
      <c r="AL126" s="119"/>
    </row>
    <row r="127" spans="1:38" x14ac:dyDescent="0.25">
      <c r="A127" s="71"/>
      <c r="B127" s="71"/>
      <c r="C127" s="71"/>
      <c r="D127" s="71"/>
      <c r="E127" s="71"/>
      <c r="F127" s="71"/>
      <c r="G127" s="113"/>
      <c r="H127" s="114"/>
      <c r="I127" s="114"/>
      <c r="J127" s="115"/>
      <c r="K127" s="115"/>
      <c r="L127" s="115"/>
      <c r="M127" s="115"/>
      <c r="N127" s="114"/>
      <c r="O127" s="114"/>
      <c r="P127" s="122"/>
      <c r="Q127" s="122"/>
      <c r="R127" s="122"/>
      <c r="S127" s="122"/>
      <c r="T127" s="123"/>
      <c r="U127" s="122"/>
      <c r="V127" s="122"/>
      <c r="W127" s="122"/>
      <c r="X127" s="122"/>
      <c r="Y127" s="123"/>
      <c r="Z127" s="124"/>
      <c r="AA127" s="124"/>
      <c r="AB127" s="123"/>
      <c r="AC127" s="71"/>
      <c r="AD127" s="119"/>
      <c r="AE127" s="120"/>
      <c r="AF127" s="115"/>
      <c r="AG127" s="119"/>
      <c r="AH127" s="119"/>
      <c r="AI127" s="119"/>
      <c r="AJ127" s="119"/>
      <c r="AK127" s="119"/>
      <c r="AL127" s="119"/>
    </row>
    <row r="128" spans="1:38" x14ac:dyDescent="0.25">
      <c r="A128" s="71"/>
      <c r="B128" s="71"/>
      <c r="C128" s="71"/>
      <c r="D128" s="71"/>
      <c r="E128" s="71"/>
      <c r="F128" s="71"/>
      <c r="G128" s="113"/>
      <c r="H128" s="114"/>
      <c r="I128" s="114"/>
      <c r="J128" s="115"/>
      <c r="K128" s="115"/>
      <c r="L128" s="115"/>
      <c r="M128" s="115"/>
      <c r="N128" s="114"/>
      <c r="O128" s="114"/>
      <c r="P128" s="122"/>
      <c r="Q128" s="122"/>
      <c r="R128" s="122"/>
      <c r="S128" s="122"/>
      <c r="T128" s="123"/>
      <c r="U128" s="122"/>
      <c r="V128" s="122"/>
      <c r="W128" s="122"/>
      <c r="X128" s="122"/>
      <c r="Y128" s="123"/>
      <c r="Z128" s="124"/>
      <c r="AA128" s="124"/>
      <c r="AB128" s="123"/>
      <c r="AC128" s="71"/>
      <c r="AD128" s="119"/>
      <c r="AE128" s="120"/>
      <c r="AF128" s="115"/>
      <c r="AG128" s="119"/>
      <c r="AH128" s="119"/>
      <c r="AI128" s="119"/>
      <c r="AJ128" s="119"/>
      <c r="AK128" s="119"/>
      <c r="AL128" s="119"/>
    </row>
    <row r="129" spans="1:38" x14ac:dyDescent="0.25">
      <c r="A129" s="71"/>
      <c r="B129" s="71"/>
      <c r="C129" s="71"/>
      <c r="D129" s="71"/>
      <c r="E129" s="71"/>
      <c r="F129" s="71"/>
      <c r="G129" s="113"/>
      <c r="H129" s="114"/>
      <c r="I129" s="114"/>
      <c r="J129" s="115"/>
      <c r="K129" s="115"/>
      <c r="L129" s="115"/>
      <c r="M129" s="115"/>
      <c r="N129" s="114"/>
      <c r="O129" s="114"/>
      <c r="P129" s="122"/>
      <c r="Q129" s="122"/>
      <c r="R129" s="122"/>
      <c r="S129" s="122"/>
      <c r="T129" s="123"/>
      <c r="U129" s="122"/>
      <c r="V129" s="122"/>
      <c r="W129" s="122"/>
      <c r="X129" s="122"/>
      <c r="Y129" s="123"/>
      <c r="Z129" s="124"/>
      <c r="AA129" s="124"/>
      <c r="AB129" s="123"/>
      <c r="AC129" s="71"/>
      <c r="AD129" s="119"/>
      <c r="AE129" s="120"/>
      <c r="AF129" s="115"/>
      <c r="AG129" s="119"/>
      <c r="AH129" s="119"/>
      <c r="AI129" s="119"/>
      <c r="AJ129" s="119"/>
      <c r="AK129" s="119"/>
      <c r="AL129" s="119"/>
    </row>
    <row r="130" spans="1:38" x14ac:dyDescent="0.25">
      <c r="A130" s="71"/>
      <c r="B130" s="71"/>
      <c r="C130" s="71"/>
      <c r="D130" s="71"/>
      <c r="E130" s="71"/>
      <c r="F130" s="71"/>
      <c r="G130" s="113"/>
      <c r="H130" s="114"/>
      <c r="I130" s="114"/>
      <c r="J130" s="115"/>
      <c r="K130" s="115"/>
      <c r="L130" s="115"/>
      <c r="M130" s="115"/>
      <c r="N130" s="114"/>
      <c r="O130" s="114"/>
      <c r="P130" s="122"/>
      <c r="Q130" s="122"/>
      <c r="R130" s="122"/>
      <c r="S130" s="122"/>
      <c r="T130" s="123"/>
      <c r="U130" s="122"/>
      <c r="V130" s="122"/>
      <c r="W130" s="122"/>
      <c r="X130" s="122"/>
      <c r="Y130" s="123"/>
      <c r="Z130" s="124"/>
      <c r="AA130" s="124"/>
      <c r="AB130" s="123"/>
      <c r="AC130" s="71"/>
      <c r="AD130" s="119"/>
      <c r="AE130" s="120"/>
      <c r="AF130" s="115"/>
      <c r="AG130" s="119"/>
      <c r="AH130" s="119"/>
      <c r="AI130" s="119"/>
      <c r="AJ130" s="119"/>
      <c r="AK130" s="119"/>
      <c r="AL130" s="119"/>
    </row>
    <row r="131" spans="1:38" x14ac:dyDescent="0.25">
      <c r="G131" s="113"/>
      <c r="H131" s="114"/>
      <c r="I131" s="114"/>
      <c r="J131" s="115"/>
      <c r="K131" s="115"/>
      <c r="L131" s="115"/>
      <c r="M131" s="115"/>
      <c r="N131" s="114"/>
      <c r="O131" s="114"/>
      <c r="P131" s="122"/>
      <c r="Q131" s="122"/>
      <c r="R131" s="122"/>
      <c r="S131" s="122"/>
      <c r="T131" s="123"/>
      <c r="U131" s="122"/>
      <c r="V131" s="122"/>
      <c r="W131" s="122"/>
      <c r="X131" s="122"/>
      <c r="Y131" s="123"/>
      <c r="AD131" s="119"/>
      <c r="AE131" s="120"/>
      <c r="AF131" s="115"/>
      <c r="AG131" s="119"/>
      <c r="AH131" s="119"/>
      <c r="AI131" s="119"/>
      <c r="AJ131" s="119"/>
      <c r="AK131" s="119"/>
      <c r="AL131" s="119"/>
    </row>
    <row r="132" spans="1:38" x14ac:dyDescent="0.25">
      <c r="G132" s="113"/>
      <c r="H132" s="114"/>
      <c r="I132" s="114"/>
      <c r="J132" s="115"/>
      <c r="K132" s="115"/>
      <c r="L132" s="115"/>
      <c r="M132" s="115"/>
      <c r="N132" s="114"/>
      <c r="O132" s="114"/>
      <c r="P132" s="122"/>
      <c r="Q132" s="122"/>
      <c r="R132" s="122"/>
      <c r="S132" s="122"/>
      <c r="T132" s="123"/>
      <c r="U132" s="122"/>
      <c r="V132" s="122"/>
      <c r="W132" s="122"/>
      <c r="X132" s="122"/>
      <c r="Y132" s="123"/>
      <c r="AD132" s="119"/>
      <c r="AE132" s="120"/>
      <c r="AF132" s="115"/>
      <c r="AG132" s="119"/>
      <c r="AH132" s="119"/>
      <c r="AI132" s="119"/>
      <c r="AJ132" s="119"/>
      <c r="AK132" s="119"/>
      <c r="AL132" s="119"/>
    </row>
    <row r="133" spans="1:38" x14ac:dyDescent="0.25">
      <c r="G133" s="113"/>
      <c r="H133" s="114"/>
      <c r="I133" s="114"/>
      <c r="J133" s="115"/>
      <c r="K133" s="115"/>
      <c r="L133" s="115"/>
      <c r="M133" s="115"/>
      <c r="N133" s="114"/>
      <c r="O133" s="114"/>
      <c r="P133" s="122"/>
      <c r="Q133" s="122"/>
      <c r="R133" s="122"/>
      <c r="S133" s="122"/>
      <c r="T133" s="123"/>
      <c r="U133" s="122"/>
      <c r="V133" s="122"/>
      <c r="W133" s="122"/>
      <c r="X133" s="122"/>
      <c r="Y133" s="123"/>
      <c r="AD133" s="119"/>
      <c r="AE133" s="120"/>
      <c r="AF133" s="115"/>
      <c r="AG133" s="119"/>
      <c r="AH133" s="119"/>
      <c r="AI133" s="119"/>
      <c r="AJ133" s="119"/>
      <c r="AK133" s="119"/>
      <c r="AL133" s="119"/>
    </row>
    <row r="134" spans="1:38" x14ac:dyDescent="0.25">
      <c r="G134" s="113"/>
      <c r="H134" s="114"/>
      <c r="I134" s="114"/>
      <c r="J134" s="115"/>
      <c r="K134" s="115"/>
      <c r="L134" s="115"/>
      <c r="M134" s="115"/>
      <c r="N134" s="114"/>
      <c r="O134" s="114"/>
      <c r="P134" s="122"/>
      <c r="Q134" s="122"/>
      <c r="R134" s="122"/>
      <c r="S134" s="122"/>
      <c r="T134" s="123"/>
      <c r="U134" s="122"/>
      <c r="V134" s="122"/>
      <c r="W134" s="122"/>
      <c r="X134" s="122"/>
      <c r="Y134" s="123"/>
      <c r="AD134" s="119"/>
      <c r="AE134" s="120"/>
      <c r="AF134" s="115"/>
      <c r="AG134" s="119"/>
      <c r="AH134" s="119"/>
      <c r="AI134" s="119"/>
      <c r="AJ134" s="119"/>
      <c r="AK134" s="119"/>
      <c r="AL134" s="119"/>
    </row>
    <row r="135" spans="1:38" x14ac:dyDescent="0.25">
      <c r="G135" s="113"/>
      <c r="H135" s="114"/>
      <c r="I135" s="114"/>
      <c r="J135" s="115"/>
      <c r="K135" s="115"/>
      <c r="L135" s="115"/>
      <c r="M135" s="115"/>
      <c r="N135" s="114"/>
      <c r="O135" s="114"/>
      <c r="P135" s="122"/>
      <c r="Q135" s="122"/>
      <c r="R135" s="122"/>
      <c r="S135" s="122"/>
      <c r="T135" s="123"/>
      <c r="U135" s="122"/>
      <c r="V135" s="122"/>
      <c r="W135" s="122"/>
      <c r="X135" s="122"/>
      <c r="Y135" s="123"/>
      <c r="AD135" s="119"/>
      <c r="AE135" s="120"/>
      <c r="AF135" s="115"/>
      <c r="AG135" s="119"/>
      <c r="AH135" s="119"/>
      <c r="AI135" s="119"/>
      <c r="AJ135" s="119"/>
      <c r="AK135" s="119"/>
      <c r="AL135" s="119"/>
    </row>
    <row r="136" spans="1:38" x14ac:dyDescent="0.25">
      <c r="G136" s="113"/>
      <c r="H136" s="114"/>
      <c r="I136" s="114"/>
      <c r="J136" s="115"/>
      <c r="K136" s="115"/>
      <c r="L136" s="115"/>
      <c r="M136" s="115"/>
      <c r="N136" s="114"/>
      <c r="O136" s="114"/>
      <c r="P136" s="122"/>
      <c r="Q136" s="122"/>
      <c r="R136" s="122"/>
      <c r="S136" s="122"/>
      <c r="T136" s="123"/>
      <c r="U136" s="122"/>
      <c r="V136" s="122"/>
      <c r="W136" s="122"/>
      <c r="X136" s="122"/>
      <c r="Y136" s="123"/>
      <c r="AD136" s="119"/>
      <c r="AE136" s="120"/>
      <c r="AF136" s="115"/>
      <c r="AG136" s="119"/>
      <c r="AH136" s="119"/>
      <c r="AI136" s="119"/>
      <c r="AJ136" s="119"/>
      <c r="AK136" s="119"/>
      <c r="AL136" s="119"/>
    </row>
    <row r="137" spans="1:38" x14ac:dyDescent="0.25">
      <c r="G137" s="113"/>
      <c r="H137" s="114"/>
      <c r="I137" s="114"/>
      <c r="J137" s="115"/>
      <c r="K137" s="115"/>
      <c r="L137" s="115"/>
      <c r="M137" s="115"/>
      <c r="N137" s="114"/>
      <c r="O137" s="114"/>
      <c r="P137" s="122"/>
      <c r="Q137" s="122"/>
      <c r="R137" s="122"/>
      <c r="S137" s="122"/>
      <c r="T137" s="123"/>
      <c r="U137" s="122"/>
      <c r="V137" s="122"/>
      <c r="W137" s="122"/>
      <c r="X137" s="122"/>
      <c r="Y137" s="123"/>
      <c r="AD137" s="119"/>
      <c r="AE137" s="120"/>
      <c r="AF137" s="115"/>
      <c r="AG137" s="119"/>
      <c r="AH137" s="119"/>
      <c r="AI137" s="119"/>
      <c r="AJ137" s="119"/>
      <c r="AK137" s="119"/>
      <c r="AL137" s="119"/>
    </row>
    <row r="138" spans="1:38" x14ac:dyDescent="0.25">
      <c r="G138" s="113"/>
      <c r="H138" s="114"/>
      <c r="I138" s="114"/>
      <c r="J138" s="115"/>
      <c r="K138" s="115"/>
      <c r="L138" s="115"/>
      <c r="M138" s="115"/>
      <c r="N138" s="114"/>
      <c r="O138" s="114"/>
      <c r="P138" s="122"/>
      <c r="Q138" s="122"/>
      <c r="R138" s="122"/>
      <c r="S138" s="122"/>
      <c r="T138" s="123"/>
      <c r="U138" s="122"/>
      <c r="V138" s="122"/>
      <c r="W138" s="122"/>
      <c r="X138" s="122"/>
      <c r="Y138" s="123"/>
      <c r="AD138" s="119"/>
      <c r="AE138" s="120"/>
      <c r="AF138" s="115"/>
      <c r="AG138" s="119"/>
      <c r="AH138" s="119"/>
      <c r="AI138" s="119"/>
      <c r="AJ138" s="119"/>
      <c r="AK138" s="119"/>
      <c r="AL138" s="119"/>
    </row>
    <row r="139" spans="1:38" x14ac:dyDescent="0.25">
      <c r="G139" s="113"/>
      <c r="H139" s="114"/>
      <c r="I139" s="114"/>
      <c r="J139" s="115"/>
      <c r="K139" s="115"/>
      <c r="L139" s="115"/>
      <c r="M139" s="115"/>
      <c r="N139" s="114"/>
      <c r="O139" s="114"/>
      <c r="P139" s="122"/>
      <c r="Q139" s="122"/>
      <c r="R139" s="122"/>
      <c r="S139" s="122"/>
      <c r="T139" s="123"/>
      <c r="U139" s="122"/>
      <c r="V139" s="122"/>
      <c r="W139" s="122"/>
      <c r="X139" s="122"/>
      <c r="Y139" s="123"/>
      <c r="AD139" s="119"/>
      <c r="AE139" s="120"/>
      <c r="AF139" s="115"/>
      <c r="AG139" s="119"/>
      <c r="AH139" s="119"/>
      <c r="AI139" s="119"/>
      <c r="AJ139" s="119"/>
      <c r="AK139" s="119"/>
      <c r="AL139" s="119"/>
    </row>
    <row r="140" spans="1:38" x14ac:dyDescent="0.25">
      <c r="G140" s="113"/>
      <c r="H140" s="114"/>
      <c r="I140" s="114"/>
      <c r="J140" s="115"/>
      <c r="K140" s="115"/>
      <c r="L140" s="115"/>
      <c r="M140" s="115"/>
      <c r="N140" s="114"/>
      <c r="O140" s="114"/>
      <c r="P140" s="122"/>
      <c r="Q140" s="122"/>
      <c r="R140" s="122"/>
      <c r="S140" s="122"/>
      <c r="T140" s="123"/>
      <c r="U140" s="122"/>
      <c r="V140" s="122"/>
      <c r="W140" s="122"/>
      <c r="X140" s="122"/>
      <c r="Y140" s="123"/>
      <c r="AD140" s="119"/>
      <c r="AE140" s="120"/>
      <c r="AF140" s="115"/>
      <c r="AG140" s="119"/>
      <c r="AH140" s="119"/>
      <c r="AI140" s="119"/>
      <c r="AJ140" s="119"/>
      <c r="AK140" s="119"/>
      <c r="AL140" s="119"/>
    </row>
    <row r="141" spans="1:38" x14ac:dyDescent="0.25">
      <c r="G141" s="113"/>
      <c r="H141" s="114"/>
      <c r="I141" s="114"/>
      <c r="J141" s="115"/>
      <c r="K141" s="115"/>
      <c r="L141" s="115"/>
      <c r="M141" s="115"/>
      <c r="N141" s="114"/>
      <c r="O141" s="114"/>
      <c r="P141" s="122"/>
      <c r="Q141" s="122"/>
      <c r="R141" s="122"/>
      <c r="S141" s="122"/>
      <c r="T141" s="123"/>
      <c r="U141" s="122"/>
      <c r="V141" s="122"/>
      <c r="W141" s="122"/>
      <c r="X141" s="122"/>
      <c r="Y141" s="123"/>
      <c r="AD141" s="119"/>
      <c r="AE141" s="120"/>
      <c r="AF141" s="115"/>
      <c r="AG141" s="119"/>
      <c r="AH141" s="119"/>
      <c r="AI141" s="119"/>
      <c r="AJ141" s="119"/>
      <c r="AK141" s="119"/>
      <c r="AL141" s="119"/>
    </row>
    <row r="142" spans="1:38" x14ac:dyDescent="0.25">
      <c r="G142" s="113"/>
      <c r="H142" s="114"/>
      <c r="I142" s="114"/>
      <c r="J142" s="115"/>
      <c r="K142" s="115"/>
      <c r="L142" s="115"/>
      <c r="M142" s="115"/>
      <c r="N142" s="114"/>
      <c r="O142" s="114"/>
      <c r="P142" s="122"/>
      <c r="Q142" s="122"/>
      <c r="R142" s="122"/>
      <c r="S142" s="122"/>
      <c r="T142" s="123"/>
      <c r="U142" s="122"/>
      <c r="V142" s="122"/>
      <c r="W142" s="122"/>
      <c r="X142" s="122"/>
      <c r="Y142" s="123"/>
      <c r="AD142" s="119"/>
      <c r="AE142" s="120"/>
      <c r="AF142" s="115"/>
      <c r="AG142" s="119"/>
      <c r="AH142" s="119"/>
      <c r="AI142" s="119"/>
      <c r="AJ142" s="119"/>
      <c r="AK142" s="119"/>
      <c r="AL142" s="119"/>
    </row>
    <row r="143" spans="1:38" x14ac:dyDescent="0.25">
      <c r="G143" s="113"/>
      <c r="H143" s="114"/>
      <c r="I143" s="114"/>
      <c r="J143" s="115"/>
      <c r="K143" s="115"/>
      <c r="L143" s="115"/>
      <c r="M143" s="115"/>
      <c r="N143" s="114"/>
      <c r="O143" s="114"/>
      <c r="P143" s="122"/>
      <c r="Q143" s="122"/>
      <c r="R143" s="122"/>
      <c r="S143" s="122"/>
      <c r="T143" s="123"/>
      <c r="U143" s="122"/>
      <c r="V143" s="122"/>
      <c r="W143" s="122"/>
      <c r="X143" s="122"/>
      <c r="Y143" s="123"/>
      <c r="AD143" s="119"/>
      <c r="AE143" s="120"/>
      <c r="AF143" s="115"/>
      <c r="AG143" s="119"/>
      <c r="AH143" s="119"/>
      <c r="AI143" s="119"/>
      <c r="AJ143" s="119"/>
      <c r="AK143" s="119"/>
      <c r="AL143" s="119"/>
    </row>
    <row r="144" spans="1:38" x14ac:dyDescent="0.25">
      <c r="G144" s="113"/>
      <c r="H144" s="114"/>
      <c r="I144" s="114"/>
      <c r="J144" s="115"/>
      <c r="K144" s="115"/>
      <c r="L144" s="115"/>
      <c r="M144" s="115"/>
      <c r="N144" s="114"/>
      <c r="O144" s="114"/>
      <c r="P144" s="122"/>
      <c r="Q144" s="122"/>
      <c r="R144" s="122"/>
      <c r="S144" s="122"/>
      <c r="T144" s="123"/>
      <c r="U144" s="122"/>
      <c r="V144" s="122"/>
      <c r="W144" s="122"/>
      <c r="X144" s="122"/>
      <c r="Y144" s="123"/>
      <c r="AD144" s="119"/>
      <c r="AE144" s="120"/>
      <c r="AF144" s="115"/>
      <c r="AG144" s="119"/>
      <c r="AH144" s="119"/>
      <c r="AI144" s="119"/>
      <c r="AJ144" s="119"/>
      <c r="AK144" s="119"/>
      <c r="AL144" s="119"/>
    </row>
    <row r="145" spans="7:38" x14ac:dyDescent="0.25">
      <c r="G145" s="113"/>
      <c r="H145" s="114"/>
      <c r="I145" s="114"/>
      <c r="J145" s="115"/>
      <c r="K145" s="115"/>
      <c r="L145" s="115"/>
      <c r="M145" s="115"/>
      <c r="N145" s="114"/>
      <c r="O145" s="114"/>
      <c r="P145" s="122"/>
      <c r="Q145" s="122"/>
      <c r="R145" s="122"/>
      <c r="S145" s="122"/>
      <c r="T145" s="123"/>
      <c r="U145" s="122"/>
      <c r="V145" s="122"/>
      <c r="W145" s="122"/>
      <c r="X145" s="122"/>
      <c r="Y145" s="123"/>
      <c r="AD145" s="119"/>
      <c r="AE145" s="120"/>
      <c r="AF145" s="115"/>
      <c r="AG145" s="119"/>
      <c r="AH145" s="119"/>
      <c r="AI145" s="119"/>
      <c r="AJ145" s="119"/>
      <c r="AK145" s="119"/>
      <c r="AL145" s="119"/>
    </row>
    <row r="146" spans="7:38" x14ac:dyDescent="0.25">
      <c r="G146" s="113"/>
      <c r="H146" s="114"/>
      <c r="I146" s="114"/>
      <c r="J146" s="115"/>
      <c r="K146" s="115"/>
      <c r="L146" s="115"/>
      <c r="M146" s="115"/>
      <c r="N146" s="114"/>
      <c r="O146" s="114"/>
      <c r="P146" s="122"/>
      <c r="Q146" s="122"/>
      <c r="R146" s="122"/>
      <c r="S146" s="122"/>
      <c r="T146" s="123"/>
      <c r="U146" s="122"/>
      <c r="V146" s="122"/>
      <c r="W146" s="122"/>
      <c r="X146" s="122"/>
      <c r="Y146" s="123"/>
      <c r="AD146" s="119"/>
      <c r="AE146" s="120"/>
      <c r="AF146" s="115"/>
      <c r="AG146" s="119"/>
      <c r="AH146" s="119"/>
      <c r="AI146" s="119"/>
      <c r="AJ146" s="119"/>
      <c r="AK146" s="119"/>
      <c r="AL146" s="119"/>
    </row>
    <row r="147" spans="7:38" x14ac:dyDescent="0.25">
      <c r="G147" s="113"/>
      <c r="H147" s="114"/>
      <c r="I147" s="114"/>
      <c r="J147" s="115"/>
      <c r="K147" s="115"/>
      <c r="L147" s="115"/>
      <c r="M147" s="115"/>
      <c r="N147" s="114"/>
      <c r="O147" s="114"/>
      <c r="P147" s="122"/>
      <c r="Q147" s="122"/>
      <c r="R147" s="122"/>
      <c r="S147" s="122"/>
      <c r="T147" s="123"/>
      <c r="U147" s="122"/>
      <c r="V147" s="122"/>
      <c r="W147" s="122"/>
      <c r="X147" s="122"/>
      <c r="Y147" s="123"/>
      <c r="AD147" s="119"/>
      <c r="AE147" s="120"/>
      <c r="AF147" s="115"/>
      <c r="AG147" s="119"/>
      <c r="AH147" s="119"/>
      <c r="AI147" s="119"/>
      <c r="AJ147" s="119"/>
      <c r="AK147" s="119"/>
      <c r="AL147" s="119"/>
    </row>
    <row r="148" spans="7:38" x14ac:dyDescent="0.25">
      <c r="G148" s="113"/>
      <c r="H148" s="114"/>
      <c r="I148" s="114"/>
      <c r="J148" s="115"/>
      <c r="K148" s="115"/>
      <c r="L148" s="115"/>
      <c r="M148" s="115"/>
      <c r="N148" s="114"/>
      <c r="O148" s="114"/>
      <c r="P148" s="122"/>
      <c r="Q148" s="122"/>
      <c r="R148" s="122"/>
      <c r="S148" s="122"/>
      <c r="T148" s="123"/>
      <c r="U148" s="122"/>
      <c r="V148" s="122"/>
      <c r="W148" s="122"/>
      <c r="X148" s="122"/>
      <c r="Y148" s="123"/>
      <c r="AD148" s="119"/>
      <c r="AE148" s="120"/>
      <c r="AF148" s="115"/>
      <c r="AG148" s="119"/>
      <c r="AH148" s="119"/>
      <c r="AI148" s="119"/>
      <c r="AJ148" s="119"/>
      <c r="AK148" s="119"/>
      <c r="AL148" s="119"/>
    </row>
    <row r="149" spans="7:38" x14ac:dyDescent="0.25">
      <c r="G149" s="113"/>
      <c r="H149" s="114"/>
      <c r="I149" s="114"/>
      <c r="J149" s="115"/>
      <c r="K149" s="115"/>
      <c r="L149" s="115"/>
      <c r="M149" s="115"/>
      <c r="N149" s="114"/>
      <c r="O149" s="114"/>
      <c r="P149" s="122"/>
      <c r="Q149" s="122"/>
      <c r="R149" s="122"/>
      <c r="S149" s="122"/>
      <c r="T149" s="123"/>
      <c r="U149" s="122"/>
      <c r="V149" s="122"/>
      <c r="W149" s="122"/>
      <c r="X149" s="122"/>
      <c r="Y149" s="123"/>
      <c r="AD149" s="119"/>
      <c r="AE149" s="120"/>
      <c r="AF149" s="115"/>
      <c r="AG149" s="119"/>
      <c r="AH149" s="119"/>
      <c r="AI149" s="119"/>
      <c r="AJ149" s="119"/>
      <c r="AK149" s="119"/>
      <c r="AL149" s="119"/>
    </row>
    <row r="150" spans="7:38" x14ac:dyDescent="0.25">
      <c r="G150" s="113"/>
      <c r="H150" s="114"/>
      <c r="I150" s="114"/>
      <c r="J150" s="115"/>
      <c r="K150" s="115"/>
      <c r="L150" s="115"/>
      <c r="M150" s="115"/>
      <c r="N150" s="114"/>
      <c r="O150" s="114"/>
      <c r="P150" s="122"/>
      <c r="Q150" s="122"/>
      <c r="R150" s="122"/>
      <c r="S150" s="122"/>
      <c r="T150" s="123"/>
      <c r="U150" s="122"/>
      <c r="V150" s="122"/>
      <c r="W150" s="122"/>
      <c r="X150" s="122"/>
      <c r="Y150" s="123"/>
      <c r="AD150" s="119"/>
      <c r="AE150" s="120"/>
      <c r="AF150" s="115"/>
      <c r="AG150" s="119"/>
      <c r="AH150" s="119"/>
      <c r="AI150" s="119"/>
      <c r="AJ150" s="119"/>
      <c r="AK150" s="119"/>
      <c r="AL150" s="119"/>
    </row>
    <row r="151" spans="7:38" x14ac:dyDescent="0.25">
      <c r="G151" s="113"/>
      <c r="H151" s="114"/>
      <c r="I151" s="114"/>
      <c r="J151" s="115"/>
      <c r="K151" s="115"/>
      <c r="L151" s="115"/>
      <c r="M151" s="115"/>
      <c r="N151" s="114"/>
      <c r="O151" s="114"/>
      <c r="P151" s="122"/>
      <c r="Q151" s="122"/>
      <c r="R151" s="122"/>
      <c r="S151" s="122"/>
      <c r="T151" s="123"/>
      <c r="U151" s="122"/>
      <c r="V151" s="122"/>
      <c r="W151" s="122"/>
      <c r="X151" s="122"/>
      <c r="Y151" s="123"/>
      <c r="AD151" s="119"/>
      <c r="AE151" s="120"/>
      <c r="AF151" s="115"/>
      <c r="AG151" s="119"/>
      <c r="AH151" s="119"/>
      <c r="AI151" s="119"/>
      <c r="AJ151" s="119"/>
      <c r="AK151" s="119"/>
      <c r="AL151" s="119"/>
    </row>
    <row r="152" spans="7:38" x14ac:dyDescent="0.25">
      <c r="G152" s="113"/>
      <c r="H152" s="114"/>
      <c r="I152" s="114"/>
      <c r="J152" s="115"/>
      <c r="K152" s="115"/>
      <c r="L152" s="115"/>
      <c r="M152" s="115"/>
      <c r="N152" s="114"/>
      <c r="O152" s="114"/>
      <c r="P152" s="122"/>
      <c r="Q152" s="122"/>
      <c r="R152" s="122"/>
      <c r="S152" s="122"/>
      <c r="T152" s="123"/>
      <c r="U152" s="122"/>
      <c r="V152" s="122"/>
      <c r="W152" s="122"/>
      <c r="X152" s="122"/>
      <c r="Y152" s="123"/>
      <c r="AD152" s="119"/>
      <c r="AE152" s="120"/>
      <c r="AF152" s="115"/>
      <c r="AG152" s="119"/>
      <c r="AH152" s="119"/>
      <c r="AI152" s="119"/>
      <c r="AJ152" s="119"/>
      <c r="AK152" s="119"/>
      <c r="AL152" s="119"/>
    </row>
    <row r="153" spans="7:38" x14ac:dyDescent="0.25">
      <c r="G153" s="113"/>
      <c r="H153" s="114"/>
      <c r="I153" s="114"/>
      <c r="J153" s="115"/>
      <c r="K153" s="115"/>
      <c r="L153" s="115"/>
      <c r="M153" s="115"/>
      <c r="N153" s="114"/>
      <c r="O153" s="114"/>
      <c r="P153" s="122"/>
      <c r="Q153" s="122"/>
      <c r="R153" s="122"/>
      <c r="S153" s="122"/>
      <c r="T153" s="123"/>
      <c r="U153" s="122"/>
      <c r="V153" s="122"/>
      <c r="W153" s="122"/>
      <c r="X153" s="122"/>
      <c r="Y153" s="123"/>
      <c r="AD153" s="119"/>
      <c r="AE153" s="120"/>
      <c r="AF153" s="115"/>
      <c r="AG153" s="119"/>
      <c r="AH153" s="119"/>
      <c r="AI153" s="119"/>
      <c r="AJ153" s="119"/>
      <c r="AK153" s="119"/>
      <c r="AL153" s="119"/>
    </row>
    <row r="154" spans="7:38" x14ac:dyDescent="0.25">
      <c r="G154" s="113"/>
      <c r="H154" s="114"/>
      <c r="I154" s="114"/>
      <c r="J154" s="115"/>
      <c r="K154" s="115"/>
      <c r="L154" s="115"/>
      <c r="M154" s="115"/>
      <c r="N154" s="114"/>
      <c r="O154" s="114"/>
      <c r="P154" s="122"/>
      <c r="Q154" s="122"/>
      <c r="R154" s="122"/>
      <c r="S154" s="122"/>
      <c r="T154" s="123"/>
      <c r="U154" s="122"/>
      <c r="V154" s="122"/>
      <c r="W154" s="122"/>
      <c r="X154" s="122"/>
      <c r="Y154" s="123"/>
      <c r="AD154" s="119"/>
      <c r="AE154" s="120"/>
      <c r="AF154" s="115"/>
      <c r="AG154" s="119"/>
      <c r="AH154" s="119"/>
      <c r="AI154" s="119"/>
      <c r="AJ154" s="119"/>
      <c r="AK154" s="119"/>
      <c r="AL154" s="119"/>
    </row>
    <row r="155" spans="7:38" x14ac:dyDescent="0.25">
      <c r="G155" s="113"/>
      <c r="H155" s="114"/>
      <c r="I155" s="114"/>
      <c r="J155" s="115"/>
      <c r="K155" s="115"/>
      <c r="L155" s="115"/>
      <c r="M155" s="115"/>
      <c r="N155" s="114"/>
      <c r="O155" s="114"/>
      <c r="P155" s="122"/>
      <c r="Q155" s="122"/>
      <c r="R155" s="122"/>
      <c r="S155" s="122"/>
      <c r="T155" s="123"/>
      <c r="U155" s="122"/>
      <c r="V155" s="122"/>
      <c r="W155" s="122"/>
      <c r="X155" s="122"/>
      <c r="Y155" s="123"/>
      <c r="AD155" s="119"/>
      <c r="AE155" s="120"/>
      <c r="AF155" s="115"/>
      <c r="AG155" s="119"/>
      <c r="AH155" s="119"/>
      <c r="AI155" s="119"/>
      <c r="AJ155" s="119"/>
      <c r="AK155" s="119"/>
      <c r="AL155" s="119"/>
    </row>
    <row r="156" spans="7:38" x14ac:dyDescent="0.25">
      <c r="G156" s="113"/>
      <c r="H156" s="114"/>
      <c r="I156" s="114"/>
      <c r="J156" s="115"/>
      <c r="K156" s="115"/>
      <c r="L156" s="115"/>
      <c r="M156" s="115"/>
      <c r="N156" s="114"/>
      <c r="O156" s="114"/>
      <c r="P156" s="122"/>
      <c r="Q156" s="122"/>
      <c r="R156" s="122"/>
      <c r="S156" s="122"/>
      <c r="T156" s="123"/>
      <c r="U156" s="122"/>
      <c r="V156" s="122"/>
      <c r="W156" s="122"/>
      <c r="X156" s="122"/>
      <c r="Y156" s="123"/>
      <c r="AD156" s="119"/>
      <c r="AE156" s="120"/>
      <c r="AF156" s="115"/>
      <c r="AG156" s="119"/>
      <c r="AH156" s="119"/>
      <c r="AI156" s="119"/>
      <c r="AJ156" s="119"/>
      <c r="AK156" s="119"/>
      <c r="AL156" s="119"/>
    </row>
    <row r="157" spans="7:38" x14ac:dyDescent="0.25">
      <c r="G157" s="113"/>
      <c r="H157" s="114"/>
      <c r="I157" s="114"/>
      <c r="J157" s="115"/>
      <c r="K157" s="115"/>
      <c r="L157" s="115"/>
      <c r="M157" s="115"/>
      <c r="N157" s="114"/>
      <c r="O157" s="114"/>
      <c r="P157" s="122"/>
      <c r="Q157" s="122"/>
      <c r="R157" s="122"/>
      <c r="S157" s="122"/>
      <c r="T157" s="123"/>
      <c r="U157" s="122"/>
      <c r="V157" s="122"/>
      <c r="W157" s="122"/>
      <c r="X157" s="122"/>
      <c r="Y157" s="123"/>
      <c r="AD157" s="119"/>
      <c r="AE157" s="120"/>
      <c r="AF157" s="115"/>
      <c r="AG157" s="119"/>
      <c r="AH157" s="119"/>
      <c r="AI157" s="119"/>
      <c r="AJ157" s="119"/>
      <c r="AK157" s="119"/>
      <c r="AL157" s="119"/>
    </row>
    <row r="158" spans="7:38" x14ac:dyDescent="0.25">
      <c r="G158" s="113"/>
      <c r="H158" s="114"/>
      <c r="I158" s="114"/>
      <c r="J158" s="115"/>
      <c r="K158" s="115"/>
      <c r="L158" s="115"/>
      <c r="M158" s="115"/>
      <c r="N158" s="114"/>
      <c r="O158" s="114"/>
      <c r="P158" s="122"/>
      <c r="Q158" s="122"/>
      <c r="R158" s="122"/>
      <c r="S158" s="122"/>
      <c r="T158" s="123"/>
      <c r="U158" s="122"/>
      <c r="V158" s="122"/>
      <c r="W158" s="122"/>
      <c r="X158" s="122"/>
      <c r="Y158" s="123"/>
      <c r="AD158" s="119"/>
      <c r="AE158" s="120"/>
      <c r="AF158" s="115"/>
      <c r="AG158" s="119"/>
      <c r="AH158" s="119"/>
      <c r="AI158" s="119"/>
      <c r="AJ158" s="119"/>
      <c r="AK158" s="119"/>
      <c r="AL158" s="119"/>
    </row>
    <row r="159" spans="7:38" x14ac:dyDescent="0.25">
      <c r="G159" s="113"/>
      <c r="H159" s="114"/>
      <c r="I159" s="114"/>
      <c r="J159" s="115"/>
      <c r="K159" s="115"/>
      <c r="L159" s="115"/>
      <c r="M159" s="115"/>
      <c r="N159" s="114"/>
      <c r="O159" s="114"/>
      <c r="P159" s="122"/>
      <c r="Q159" s="122"/>
      <c r="R159" s="122"/>
      <c r="S159" s="122"/>
      <c r="T159" s="123"/>
      <c r="U159" s="122"/>
      <c r="V159" s="122"/>
      <c r="W159" s="122"/>
      <c r="X159" s="122"/>
      <c r="Y159" s="123"/>
      <c r="AD159" s="119"/>
      <c r="AE159" s="120"/>
      <c r="AF159" s="115"/>
      <c r="AG159" s="119"/>
      <c r="AH159" s="119"/>
      <c r="AI159" s="119"/>
      <c r="AJ159" s="119"/>
      <c r="AK159" s="119"/>
      <c r="AL159" s="119"/>
    </row>
    <row r="160" spans="7:38" x14ac:dyDescent="0.25">
      <c r="G160" s="113"/>
      <c r="H160" s="114"/>
      <c r="I160" s="114"/>
      <c r="J160" s="115"/>
      <c r="K160" s="115"/>
      <c r="L160" s="115"/>
      <c r="M160" s="115"/>
      <c r="N160" s="114"/>
      <c r="O160" s="114"/>
      <c r="P160" s="122"/>
      <c r="Q160" s="122"/>
      <c r="R160" s="122"/>
      <c r="S160" s="122"/>
      <c r="T160" s="123"/>
      <c r="U160" s="122"/>
      <c r="V160" s="122"/>
      <c r="W160" s="122"/>
      <c r="X160" s="122"/>
      <c r="Y160" s="123"/>
      <c r="AD160" s="119"/>
      <c r="AE160" s="120"/>
      <c r="AF160" s="115"/>
      <c r="AG160" s="119"/>
      <c r="AH160" s="119"/>
      <c r="AI160" s="119"/>
      <c r="AJ160" s="119"/>
      <c r="AK160" s="119"/>
      <c r="AL160" s="119"/>
    </row>
    <row r="161" spans="7:38" x14ac:dyDescent="0.25">
      <c r="G161" s="113"/>
      <c r="H161" s="114"/>
      <c r="I161" s="114"/>
      <c r="J161" s="115"/>
      <c r="K161" s="115"/>
      <c r="L161" s="115"/>
      <c r="M161" s="115"/>
      <c r="N161" s="114"/>
      <c r="O161" s="114"/>
      <c r="P161" s="122"/>
      <c r="Q161" s="122"/>
      <c r="R161" s="122"/>
      <c r="S161" s="122"/>
      <c r="T161" s="123"/>
      <c r="U161" s="122"/>
      <c r="V161" s="122"/>
      <c r="W161" s="122"/>
      <c r="X161" s="122"/>
      <c r="Y161" s="123"/>
      <c r="AD161" s="119"/>
      <c r="AE161" s="120"/>
      <c r="AF161" s="115"/>
      <c r="AG161" s="119"/>
      <c r="AH161" s="119"/>
      <c r="AI161" s="119"/>
      <c r="AJ161" s="119"/>
      <c r="AK161" s="119"/>
      <c r="AL161" s="119"/>
    </row>
    <row r="162" spans="7:38" x14ac:dyDescent="0.25">
      <c r="G162" s="113"/>
      <c r="H162" s="114"/>
      <c r="I162" s="114"/>
      <c r="J162" s="115"/>
      <c r="K162" s="115"/>
      <c r="L162" s="115"/>
      <c r="M162" s="115"/>
      <c r="N162" s="114"/>
      <c r="O162" s="114"/>
      <c r="P162" s="122"/>
      <c r="Q162" s="122"/>
      <c r="R162" s="122"/>
      <c r="S162" s="122"/>
      <c r="T162" s="123"/>
      <c r="U162" s="122"/>
      <c r="V162" s="122"/>
      <c r="W162" s="122"/>
      <c r="X162" s="122"/>
      <c r="Y162" s="123"/>
      <c r="AD162" s="119"/>
      <c r="AE162" s="120"/>
      <c r="AF162" s="115"/>
      <c r="AG162" s="119"/>
      <c r="AH162" s="119"/>
      <c r="AI162" s="119"/>
      <c r="AJ162" s="119"/>
      <c r="AK162" s="119"/>
      <c r="AL162" s="119"/>
    </row>
    <row r="163" spans="7:38" x14ac:dyDescent="0.25">
      <c r="G163" s="113"/>
      <c r="H163" s="114"/>
      <c r="I163" s="114"/>
      <c r="J163" s="115"/>
      <c r="K163" s="115"/>
      <c r="L163" s="115"/>
      <c r="M163" s="115"/>
      <c r="N163" s="114"/>
      <c r="O163" s="114"/>
      <c r="P163" s="122"/>
      <c r="Q163" s="122"/>
      <c r="R163" s="122"/>
      <c r="S163" s="122"/>
      <c r="T163" s="123"/>
      <c r="U163" s="122"/>
      <c r="V163" s="122"/>
      <c r="W163" s="122"/>
      <c r="X163" s="122"/>
      <c r="Y163" s="123"/>
      <c r="AD163" s="119"/>
      <c r="AE163" s="120"/>
      <c r="AF163" s="115"/>
      <c r="AG163" s="119"/>
      <c r="AH163" s="119"/>
      <c r="AI163" s="119"/>
      <c r="AJ163" s="119"/>
      <c r="AK163" s="119"/>
      <c r="AL163" s="119"/>
    </row>
    <row r="164" spans="7:38" x14ac:dyDescent="0.25">
      <c r="G164" s="113"/>
      <c r="H164" s="114"/>
      <c r="I164" s="114"/>
      <c r="J164" s="115"/>
      <c r="K164" s="115"/>
      <c r="L164" s="115"/>
      <c r="M164" s="115"/>
      <c r="N164" s="114"/>
      <c r="O164" s="114"/>
      <c r="P164" s="122"/>
      <c r="Q164" s="122"/>
      <c r="R164" s="122"/>
      <c r="S164" s="122"/>
      <c r="T164" s="123"/>
      <c r="U164" s="122"/>
      <c r="V164" s="122"/>
      <c r="W164" s="122"/>
      <c r="X164" s="122"/>
      <c r="Y164" s="123"/>
      <c r="AD164" s="119"/>
      <c r="AE164" s="120"/>
      <c r="AF164" s="115"/>
      <c r="AG164" s="119"/>
      <c r="AH164" s="119"/>
      <c r="AI164" s="119"/>
      <c r="AJ164" s="119"/>
      <c r="AK164" s="119"/>
      <c r="AL164" s="119"/>
    </row>
    <row r="165" spans="7:38" x14ac:dyDescent="0.25">
      <c r="G165" s="113"/>
      <c r="H165" s="114"/>
      <c r="I165" s="114"/>
      <c r="J165" s="115"/>
      <c r="K165" s="115"/>
      <c r="L165" s="115"/>
      <c r="M165" s="115"/>
      <c r="N165" s="114"/>
      <c r="O165" s="114"/>
      <c r="P165" s="122"/>
      <c r="Q165" s="122"/>
      <c r="R165" s="122"/>
      <c r="S165" s="122"/>
      <c r="T165" s="123"/>
      <c r="U165" s="122"/>
      <c r="V165" s="122"/>
      <c r="W165" s="122"/>
      <c r="X165" s="122"/>
      <c r="Y165" s="123"/>
      <c r="AD165" s="119"/>
      <c r="AE165" s="120"/>
      <c r="AF165" s="115"/>
      <c r="AG165" s="119"/>
      <c r="AH165" s="119"/>
      <c r="AI165" s="119"/>
      <c r="AJ165" s="119"/>
      <c r="AK165" s="119"/>
      <c r="AL165" s="119"/>
    </row>
    <row r="166" spans="7:38" x14ac:dyDescent="0.25">
      <c r="G166" s="113"/>
      <c r="H166" s="114"/>
      <c r="I166" s="114"/>
      <c r="J166" s="115"/>
      <c r="K166" s="115"/>
      <c r="L166" s="115"/>
      <c r="M166" s="115"/>
      <c r="N166" s="114"/>
      <c r="O166" s="114"/>
      <c r="P166" s="122"/>
      <c r="Q166" s="122"/>
      <c r="R166" s="122"/>
      <c r="S166" s="122"/>
      <c r="T166" s="123"/>
      <c r="U166" s="122"/>
      <c r="V166" s="122"/>
      <c r="W166" s="122"/>
      <c r="X166" s="122"/>
      <c r="Y166" s="123"/>
      <c r="AD166" s="119"/>
      <c r="AE166" s="120"/>
      <c r="AF166" s="115"/>
      <c r="AG166" s="119"/>
      <c r="AH166" s="119"/>
      <c r="AI166" s="119"/>
      <c r="AJ166" s="119"/>
      <c r="AK166" s="119"/>
      <c r="AL166" s="119"/>
    </row>
    <row r="167" spans="7:38" x14ac:dyDescent="0.25">
      <c r="G167" s="113"/>
      <c r="H167" s="114"/>
      <c r="I167" s="114"/>
      <c r="J167" s="115"/>
      <c r="K167" s="115"/>
      <c r="L167" s="115"/>
      <c r="M167" s="115"/>
      <c r="N167" s="114"/>
      <c r="O167" s="114"/>
      <c r="P167" s="122"/>
      <c r="Q167" s="122"/>
      <c r="R167" s="122"/>
      <c r="S167" s="122"/>
      <c r="T167" s="123"/>
      <c r="U167" s="122"/>
      <c r="V167" s="122"/>
      <c r="W167" s="122"/>
      <c r="X167" s="122"/>
      <c r="Y167" s="123"/>
      <c r="AD167" s="119"/>
      <c r="AE167" s="120"/>
      <c r="AF167" s="115"/>
      <c r="AG167" s="119"/>
      <c r="AH167" s="119"/>
      <c r="AI167" s="119"/>
      <c r="AJ167" s="119"/>
      <c r="AK167" s="119"/>
      <c r="AL167" s="119"/>
    </row>
    <row r="168" spans="7:38" x14ac:dyDescent="0.25">
      <c r="G168" s="113"/>
      <c r="H168" s="114"/>
      <c r="I168" s="114"/>
      <c r="J168" s="115"/>
      <c r="K168" s="115"/>
      <c r="L168" s="115"/>
      <c r="M168" s="115"/>
      <c r="N168" s="114"/>
      <c r="O168" s="114"/>
      <c r="P168" s="122"/>
      <c r="Q168" s="122"/>
      <c r="R168" s="122"/>
      <c r="S168" s="122"/>
      <c r="T168" s="123"/>
      <c r="U168" s="122"/>
      <c r="V168" s="122"/>
      <c r="W168" s="122"/>
      <c r="X168" s="122"/>
      <c r="Y168" s="123"/>
      <c r="AD168" s="119"/>
      <c r="AE168" s="120"/>
      <c r="AF168" s="115"/>
      <c r="AG168" s="119"/>
      <c r="AH168" s="119"/>
      <c r="AI168" s="119"/>
      <c r="AJ168" s="119"/>
      <c r="AK168" s="119"/>
      <c r="AL168" s="119"/>
    </row>
    <row r="169" spans="7:38" x14ac:dyDescent="0.25">
      <c r="G169" s="113"/>
      <c r="H169" s="114"/>
      <c r="I169" s="114"/>
      <c r="J169" s="115"/>
      <c r="K169" s="115"/>
      <c r="L169" s="115"/>
      <c r="M169" s="115"/>
      <c r="N169" s="114"/>
      <c r="O169" s="114"/>
      <c r="P169" s="122"/>
      <c r="Q169" s="122"/>
      <c r="R169" s="122"/>
      <c r="S169" s="122"/>
      <c r="T169" s="123"/>
      <c r="U169" s="122"/>
      <c r="V169" s="122"/>
      <c r="W169" s="122"/>
      <c r="X169" s="122"/>
      <c r="Y169" s="123"/>
      <c r="AD169" s="119"/>
      <c r="AE169" s="120"/>
      <c r="AF169" s="115"/>
      <c r="AG169" s="119"/>
      <c r="AH169" s="119"/>
      <c r="AI169" s="119"/>
      <c r="AJ169" s="119"/>
      <c r="AK169" s="119"/>
      <c r="AL169" s="119"/>
    </row>
    <row r="170" spans="7:38" x14ac:dyDescent="0.25">
      <c r="G170" s="113"/>
      <c r="H170" s="114"/>
      <c r="I170" s="114"/>
      <c r="J170" s="115"/>
      <c r="K170" s="115"/>
      <c r="L170" s="115"/>
      <c r="M170" s="115"/>
      <c r="N170" s="114"/>
      <c r="O170" s="114"/>
      <c r="P170" s="122"/>
      <c r="Q170" s="122"/>
      <c r="R170" s="122"/>
      <c r="S170" s="122"/>
      <c r="T170" s="123"/>
      <c r="U170" s="122"/>
      <c r="V170" s="122"/>
      <c r="W170" s="122"/>
      <c r="X170" s="122"/>
      <c r="Y170" s="123"/>
      <c r="AD170" s="119"/>
      <c r="AE170" s="120"/>
      <c r="AF170" s="115"/>
      <c r="AG170" s="119"/>
      <c r="AH170" s="119"/>
      <c r="AI170" s="119"/>
      <c r="AJ170" s="119"/>
      <c r="AK170" s="119"/>
      <c r="AL170" s="119"/>
    </row>
    <row r="171" spans="7:38" x14ac:dyDescent="0.25">
      <c r="G171" s="113"/>
      <c r="H171" s="114"/>
      <c r="I171" s="114"/>
      <c r="J171" s="115"/>
      <c r="K171" s="115"/>
      <c r="L171" s="115"/>
      <c r="M171" s="115"/>
      <c r="N171" s="114"/>
      <c r="O171" s="114"/>
      <c r="P171" s="122"/>
      <c r="Q171" s="122"/>
      <c r="R171" s="122"/>
      <c r="S171" s="122"/>
      <c r="T171" s="123"/>
      <c r="U171" s="122"/>
      <c r="V171" s="122"/>
      <c r="W171" s="122"/>
      <c r="X171" s="122"/>
      <c r="Y171" s="123"/>
      <c r="AD171" s="119"/>
      <c r="AE171" s="120"/>
      <c r="AF171" s="115"/>
      <c r="AG171" s="119"/>
      <c r="AH171" s="119"/>
      <c r="AI171" s="119"/>
      <c r="AJ171" s="119"/>
      <c r="AK171" s="119"/>
      <c r="AL171" s="119"/>
    </row>
    <row r="172" spans="7:38" x14ac:dyDescent="0.25">
      <c r="G172" s="113"/>
      <c r="H172" s="114"/>
      <c r="I172" s="114"/>
      <c r="J172" s="115"/>
      <c r="K172" s="115"/>
      <c r="L172" s="115"/>
      <c r="M172" s="115"/>
      <c r="N172" s="114"/>
      <c r="O172" s="114"/>
      <c r="P172" s="122"/>
      <c r="Q172" s="122"/>
      <c r="R172" s="122"/>
      <c r="S172" s="122"/>
      <c r="T172" s="123"/>
      <c r="U172" s="122"/>
      <c r="V172" s="122"/>
      <c r="W172" s="122"/>
      <c r="X172" s="122"/>
      <c r="Y172" s="123"/>
      <c r="AD172" s="119"/>
      <c r="AE172" s="120"/>
      <c r="AF172" s="115"/>
      <c r="AG172" s="119"/>
      <c r="AH172" s="119"/>
      <c r="AI172" s="119"/>
      <c r="AJ172" s="119"/>
      <c r="AK172" s="119"/>
      <c r="AL172" s="119"/>
    </row>
    <row r="173" spans="7:38" x14ac:dyDescent="0.25">
      <c r="G173" s="113"/>
      <c r="H173" s="114"/>
      <c r="I173" s="114"/>
      <c r="J173" s="115"/>
      <c r="K173" s="115"/>
      <c r="L173" s="115"/>
      <c r="M173" s="115"/>
      <c r="N173" s="114"/>
      <c r="O173" s="114"/>
      <c r="P173" s="122"/>
      <c r="Q173" s="122"/>
      <c r="R173" s="122"/>
      <c r="S173" s="122"/>
      <c r="T173" s="123"/>
      <c r="U173" s="122"/>
      <c r="V173" s="122"/>
      <c r="W173" s="122"/>
      <c r="X173" s="122"/>
      <c r="Y173" s="123"/>
      <c r="AD173" s="119"/>
      <c r="AE173" s="120"/>
      <c r="AF173" s="115"/>
      <c r="AG173" s="119"/>
      <c r="AH173" s="119"/>
      <c r="AI173" s="119"/>
      <c r="AJ173" s="119"/>
      <c r="AK173" s="119"/>
      <c r="AL173" s="119"/>
    </row>
    <row r="174" spans="7:38" x14ac:dyDescent="0.25">
      <c r="G174" s="113"/>
      <c r="H174" s="114"/>
      <c r="I174" s="114"/>
      <c r="J174" s="115"/>
      <c r="K174" s="115"/>
      <c r="L174" s="115"/>
      <c r="M174" s="115"/>
      <c r="N174" s="114"/>
      <c r="O174" s="114"/>
      <c r="P174" s="122"/>
      <c r="Q174" s="122"/>
      <c r="R174" s="122"/>
      <c r="S174" s="122"/>
      <c r="T174" s="123"/>
      <c r="U174" s="122"/>
      <c r="V174" s="122"/>
      <c r="W174" s="122"/>
      <c r="X174" s="122"/>
      <c r="Y174" s="123"/>
      <c r="AD174" s="119"/>
      <c r="AE174" s="120"/>
      <c r="AF174" s="115"/>
      <c r="AG174" s="119"/>
      <c r="AH174" s="119"/>
      <c r="AI174" s="119"/>
      <c r="AJ174" s="119"/>
      <c r="AK174" s="119"/>
      <c r="AL174" s="119"/>
    </row>
    <row r="175" spans="7:38" x14ac:dyDescent="0.25">
      <c r="G175" s="113"/>
      <c r="H175" s="114"/>
      <c r="I175" s="114"/>
      <c r="J175" s="115"/>
      <c r="K175" s="115"/>
      <c r="L175" s="115"/>
      <c r="M175" s="115"/>
      <c r="N175" s="114"/>
      <c r="O175" s="114"/>
      <c r="P175" s="122"/>
      <c r="Q175" s="122"/>
      <c r="R175" s="122"/>
      <c r="S175" s="122"/>
      <c r="T175" s="123"/>
      <c r="U175" s="122"/>
      <c r="V175" s="122"/>
      <c r="W175" s="122"/>
      <c r="X175" s="122"/>
      <c r="Y175" s="123"/>
      <c r="AD175" s="119"/>
      <c r="AE175" s="120"/>
      <c r="AF175" s="115"/>
      <c r="AG175" s="119"/>
      <c r="AH175" s="119"/>
      <c r="AI175" s="119"/>
      <c r="AJ175" s="119"/>
      <c r="AK175" s="119"/>
      <c r="AL175" s="119"/>
    </row>
    <row r="176" spans="7:38" x14ac:dyDescent="0.25">
      <c r="G176" s="113"/>
      <c r="H176" s="114"/>
      <c r="I176" s="114"/>
      <c r="J176" s="115"/>
      <c r="K176" s="115"/>
      <c r="L176" s="115"/>
      <c r="M176" s="115"/>
      <c r="N176" s="114"/>
      <c r="O176" s="114"/>
      <c r="P176" s="122"/>
      <c r="Q176" s="122"/>
      <c r="R176" s="122"/>
      <c r="S176" s="122"/>
      <c r="T176" s="123"/>
      <c r="U176" s="122"/>
      <c r="V176" s="122"/>
      <c r="W176" s="122"/>
      <c r="X176" s="122"/>
      <c r="Y176" s="123"/>
      <c r="AD176" s="119"/>
      <c r="AE176" s="120"/>
      <c r="AF176" s="115"/>
      <c r="AG176" s="119"/>
      <c r="AH176" s="119"/>
      <c r="AI176" s="119"/>
      <c r="AJ176" s="119"/>
      <c r="AK176" s="119"/>
      <c r="AL176" s="119"/>
    </row>
    <row r="177" spans="7:38" x14ac:dyDescent="0.25">
      <c r="G177" s="113"/>
      <c r="H177" s="114"/>
      <c r="I177" s="114"/>
      <c r="J177" s="115"/>
      <c r="K177" s="115"/>
      <c r="L177" s="115"/>
      <c r="M177" s="115"/>
      <c r="N177" s="114"/>
      <c r="O177" s="114"/>
      <c r="P177" s="122"/>
      <c r="Q177" s="122"/>
      <c r="R177" s="122"/>
      <c r="S177" s="122"/>
      <c r="T177" s="123"/>
      <c r="U177" s="122"/>
      <c r="V177" s="122"/>
      <c r="W177" s="122"/>
      <c r="X177" s="122"/>
      <c r="Y177" s="123"/>
      <c r="AD177" s="119"/>
      <c r="AE177" s="120"/>
      <c r="AF177" s="115"/>
      <c r="AG177" s="119"/>
      <c r="AH177" s="119"/>
      <c r="AI177" s="119"/>
      <c r="AJ177" s="119"/>
      <c r="AK177" s="119"/>
      <c r="AL177" s="119"/>
    </row>
    <row r="178" spans="7:38" x14ac:dyDescent="0.25">
      <c r="G178" s="113"/>
      <c r="H178" s="114"/>
      <c r="I178" s="114"/>
      <c r="J178" s="115"/>
      <c r="K178" s="115"/>
      <c r="L178" s="115"/>
      <c r="M178" s="115"/>
      <c r="N178" s="114"/>
      <c r="O178" s="114"/>
      <c r="P178" s="122"/>
      <c r="Q178" s="122"/>
      <c r="R178" s="122"/>
      <c r="S178" s="122"/>
      <c r="T178" s="123"/>
      <c r="U178" s="122"/>
      <c r="V178" s="122"/>
      <c r="W178" s="122"/>
      <c r="X178" s="122"/>
      <c r="Y178" s="123"/>
      <c r="AD178" s="119"/>
      <c r="AE178" s="120"/>
      <c r="AF178" s="115"/>
      <c r="AG178" s="119"/>
      <c r="AH178" s="119"/>
      <c r="AI178" s="119"/>
      <c r="AJ178" s="119"/>
      <c r="AK178" s="119"/>
      <c r="AL178" s="119"/>
    </row>
    <row r="179" spans="7:38" x14ac:dyDescent="0.25">
      <c r="G179" s="113"/>
      <c r="H179" s="114"/>
      <c r="I179" s="114"/>
      <c r="J179" s="115"/>
      <c r="K179" s="115"/>
      <c r="L179" s="115"/>
      <c r="M179" s="115"/>
      <c r="N179" s="114"/>
      <c r="O179" s="114"/>
      <c r="P179" s="122"/>
      <c r="Q179" s="122"/>
      <c r="R179" s="122"/>
      <c r="S179" s="122"/>
      <c r="T179" s="123"/>
      <c r="U179" s="122"/>
      <c r="V179" s="122"/>
      <c r="W179" s="122"/>
      <c r="X179" s="122"/>
      <c r="Y179" s="123"/>
      <c r="AD179" s="119"/>
      <c r="AE179" s="120"/>
      <c r="AF179" s="115"/>
      <c r="AG179" s="119"/>
      <c r="AH179" s="119"/>
      <c r="AI179" s="119"/>
      <c r="AJ179" s="119"/>
      <c r="AK179" s="119"/>
      <c r="AL179" s="119"/>
    </row>
    <row r="180" spans="7:38" x14ac:dyDescent="0.25">
      <c r="G180" s="113"/>
      <c r="H180" s="114"/>
      <c r="I180" s="114"/>
      <c r="J180" s="115"/>
      <c r="K180" s="115"/>
      <c r="L180" s="115"/>
      <c r="M180" s="115"/>
      <c r="N180" s="114"/>
      <c r="O180" s="114"/>
      <c r="P180" s="122"/>
      <c r="Q180" s="122"/>
      <c r="R180" s="122"/>
      <c r="S180" s="122"/>
      <c r="T180" s="123"/>
      <c r="U180" s="122"/>
      <c r="V180" s="122"/>
      <c r="W180" s="122"/>
      <c r="X180" s="122"/>
      <c r="Y180" s="123"/>
      <c r="AD180" s="119"/>
      <c r="AE180" s="120"/>
      <c r="AF180" s="115"/>
      <c r="AG180" s="119"/>
      <c r="AH180" s="119"/>
      <c r="AI180" s="119"/>
      <c r="AJ180" s="119"/>
      <c r="AK180" s="119"/>
      <c r="AL180" s="119"/>
    </row>
    <row r="181" spans="7:38" x14ac:dyDescent="0.25">
      <c r="G181" s="113"/>
      <c r="H181" s="114"/>
      <c r="I181" s="114"/>
      <c r="J181" s="115"/>
      <c r="K181" s="115"/>
      <c r="L181" s="115"/>
      <c r="M181" s="115"/>
      <c r="N181" s="114"/>
      <c r="O181" s="114"/>
      <c r="P181" s="122"/>
      <c r="Q181" s="122"/>
      <c r="R181" s="122"/>
      <c r="S181" s="122"/>
      <c r="T181" s="123"/>
      <c r="U181" s="122"/>
      <c r="V181" s="122"/>
      <c r="W181" s="122"/>
      <c r="X181" s="122"/>
      <c r="Y181" s="123"/>
      <c r="AD181" s="119"/>
      <c r="AE181" s="120"/>
      <c r="AF181" s="115"/>
      <c r="AG181" s="119"/>
      <c r="AH181" s="119"/>
      <c r="AI181" s="119"/>
      <c r="AJ181" s="119"/>
      <c r="AK181" s="119"/>
      <c r="AL181" s="119"/>
    </row>
    <row r="182" spans="7:38" x14ac:dyDescent="0.25">
      <c r="G182" s="113"/>
      <c r="H182" s="114"/>
      <c r="I182" s="114"/>
      <c r="J182" s="115"/>
      <c r="K182" s="115"/>
      <c r="L182" s="115"/>
      <c r="M182" s="115"/>
      <c r="N182" s="114"/>
      <c r="O182" s="114"/>
      <c r="P182" s="122"/>
      <c r="Q182" s="122"/>
      <c r="R182" s="122"/>
      <c r="S182" s="122"/>
      <c r="T182" s="123"/>
      <c r="U182" s="122"/>
      <c r="V182" s="122"/>
      <c r="W182" s="122"/>
      <c r="X182" s="122"/>
      <c r="Y182" s="123"/>
      <c r="AD182" s="119"/>
      <c r="AE182" s="120"/>
      <c r="AF182" s="115"/>
      <c r="AG182" s="119"/>
      <c r="AH182" s="119"/>
      <c r="AI182" s="119"/>
      <c r="AJ182" s="119"/>
      <c r="AK182" s="119"/>
      <c r="AL182" s="119"/>
    </row>
    <row r="183" spans="7:38" x14ac:dyDescent="0.25">
      <c r="G183" s="113"/>
      <c r="H183" s="114"/>
      <c r="I183" s="114"/>
      <c r="J183" s="115"/>
      <c r="K183" s="115"/>
      <c r="L183" s="115"/>
      <c r="M183" s="115"/>
      <c r="N183" s="114"/>
      <c r="O183" s="114"/>
      <c r="P183" s="122"/>
      <c r="Q183" s="122"/>
      <c r="R183" s="122"/>
      <c r="S183" s="122"/>
      <c r="T183" s="123"/>
      <c r="U183" s="122"/>
      <c r="V183" s="122"/>
      <c r="W183" s="122"/>
      <c r="X183" s="122"/>
      <c r="Y183" s="123"/>
      <c r="AD183" s="119"/>
      <c r="AE183" s="120"/>
      <c r="AF183" s="115"/>
      <c r="AG183" s="119"/>
      <c r="AH183" s="119"/>
      <c r="AI183" s="119"/>
      <c r="AJ183" s="119"/>
      <c r="AK183" s="119"/>
      <c r="AL183" s="119"/>
    </row>
    <row r="184" spans="7:38" x14ac:dyDescent="0.25">
      <c r="G184" s="113"/>
      <c r="H184" s="114"/>
      <c r="I184" s="114"/>
      <c r="J184" s="115"/>
      <c r="K184" s="115"/>
      <c r="L184" s="115"/>
      <c r="M184" s="115"/>
      <c r="N184" s="114"/>
      <c r="O184" s="114"/>
      <c r="P184" s="122"/>
      <c r="Q184" s="122"/>
      <c r="R184" s="122"/>
      <c r="S184" s="122"/>
      <c r="T184" s="123"/>
      <c r="U184" s="122"/>
      <c r="V184" s="122"/>
      <c r="W184" s="122"/>
      <c r="X184" s="122"/>
      <c r="Y184" s="123"/>
      <c r="AD184" s="119"/>
      <c r="AE184" s="120"/>
      <c r="AF184" s="115"/>
      <c r="AG184" s="119"/>
      <c r="AH184" s="119"/>
      <c r="AI184" s="119"/>
      <c r="AJ184" s="119"/>
      <c r="AK184" s="119"/>
      <c r="AL184" s="119"/>
    </row>
    <row r="185" spans="7:38" x14ac:dyDescent="0.25">
      <c r="G185" s="113"/>
      <c r="H185" s="114"/>
      <c r="I185" s="114"/>
      <c r="J185" s="115"/>
      <c r="K185" s="115"/>
      <c r="L185" s="115"/>
      <c r="M185" s="115"/>
      <c r="N185" s="114"/>
      <c r="O185" s="114"/>
      <c r="P185" s="122"/>
      <c r="Q185" s="122"/>
      <c r="R185" s="122"/>
      <c r="S185" s="122"/>
      <c r="T185" s="123"/>
      <c r="U185" s="122"/>
      <c r="V185" s="122"/>
      <c r="W185" s="122"/>
      <c r="X185" s="122"/>
      <c r="Y185" s="123"/>
      <c r="AD185" s="119"/>
      <c r="AE185" s="120"/>
      <c r="AF185" s="115"/>
      <c r="AG185" s="119"/>
      <c r="AH185" s="119"/>
      <c r="AI185" s="119"/>
      <c r="AJ185" s="119"/>
      <c r="AK185" s="119"/>
      <c r="AL185" s="119"/>
    </row>
    <row r="186" spans="7:38" x14ac:dyDescent="0.25">
      <c r="G186" s="113"/>
      <c r="H186" s="114"/>
      <c r="I186" s="114"/>
      <c r="J186" s="115"/>
      <c r="K186" s="115"/>
      <c r="L186" s="115"/>
      <c r="M186" s="115"/>
      <c r="N186" s="114"/>
      <c r="O186" s="114"/>
      <c r="P186" s="122"/>
      <c r="Q186" s="122"/>
      <c r="R186" s="122"/>
      <c r="S186" s="122"/>
      <c r="T186" s="123"/>
      <c r="U186" s="122"/>
      <c r="V186" s="122"/>
      <c r="W186" s="122"/>
      <c r="X186" s="122"/>
      <c r="Y186" s="123"/>
      <c r="AD186" s="119"/>
      <c r="AE186" s="120"/>
      <c r="AF186" s="115"/>
      <c r="AG186" s="119"/>
      <c r="AH186" s="119"/>
      <c r="AI186" s="119"/>
      <c r="AJ186" s="119"/>
      <c r="AK186" s="119"/>
      <c r="AL186" s="119"/>
    </row>
    <row r="187" spans="7:38" x14ac:dyDescent="0.25">
      <c r="G187" s="113"/>
      <c r="H187" s="114"/>
      <c r="I187" s="114"/>
      <c r="J187" s="115"/>
      <c r="K187" s="115"/>
      <c r="L187" s="115"/>
      <c r="M187" s="115"/>
      <c r="N187" s="114"/>
      <c r="O187" s="114"/>
      <c r="P187" s="122"/>
      <c r="Q187" s="122"/>
      <c r="R187" s="122"/>
      <c r="S187" s="122"/>
      <c r="T187" s="123"/>
      <c r="U187" s="122"/>
      <c r="V187" s="122"/>
      <c r="W187" s="122"/>
      <c r="X187" s="122"/>
      <c r="Y187" s="123"/>
      <c r="AD187" s="119"/>
      <c r="AE187" s="120"/>
      <c r="AF187" s="115"/>
      <c r="AG187" s="119"/>
      <c r="AH187" s="119"/>
      <c r="AI187" s="119"/>
      <c r="AJ187" s="119"/>
      <c r="AK187" s="119"/>
      <c r="AL187" s="119"/>
    </row>
    <row r="188" spans="7:38" x14ac:dyDescent="0.25">
      <c r="G188" s="113"/>
      <c r="H188" s="114"/>
      <c r="I188" s="114"/>
      <c r="J188" s="115"/>
      <c r="K188" s="115"/>
      <c r="L188" s="115"/>
      <c r="M188" s="115"/>
      <c r="N188" s="114"/>
      <c r="O188" s="114"/>
      <c r="P188" s="122"/>
      <c r="Q188" s="122"/>
      <c r="R188" s="122"/>
      <c r="S188" s="122"/>
      <c r="T188" s="123"/>
      <c r="U188" s="122"/>
      <c r="V188" s="122"/>
      <c r="W188" s="122"/>
      <c r="X188" s="122"/>
      <c r="Y188" s="123"/>
      <c r="AD188" s="119"/>
      <c r="AE188" s="120"/>
      <c r="AF188" s="115"/>
      <c r="AG188" s="119"/>
      <c r="AH188" s="119"/>
      <c r="AI188" s="119"/>
      <c r="AJ188" s="119"/>
      <c r="AK188" s="119"/>
      <c r="AL188" s="119"/>
    </row>
    <row r="189" spans="7:38" x14ac:dyDescent="0.25">
      <c r="G189" s="113"/>
      <c r="H189" s="114"/>
      <c r="I189" s="114"/>
      <c r="J189" s="115"/>
      <c r="K189" s="115"/>
      <c r="L189" s="115"/>
      <c r="M189" s="115"/>
      <c r="N189" s="114"/>
      <c r="O189" s="114"/>
      <c r="P189" s="122"/>
      <c r="Q189" s="122"/>
      <c r="R189" s="122"/>
      <c r="S189" s="122"/>
      <c r="T189" s="123"/>
      <c r="U189" s="122"/>
      <c r="V189" s="122"/>
      <c r="W189" s="122"/>
      <c r="X189" s="122"/>
      <c r="Y189" s="123"/>
      <c r="AD189" s="119"/>
      <c r="AE189" s="120"/>
      <c r="AF189" s="115"/>
      <c r="AG189" s="119"/>
      <c r="AH189" s="119"/>
      <c r="AI189" s="119"/>
      <c r="AJ189" s="119"/>
      <c r="AK189" s="119"/>
      <c r="AL189" s="119"/>
    </row>
    <row r="190" spans="7:38" x14ac:dyDescent="0.25">
      <c r="G190" s="113"/>
      <c r="H190" s="114"/>
      <c r="I190" s="114"/>
      <c r="J190" s="115"/>
      <c r="K190" s="115"/>
      <c r="L190" s="115"/>
      <c r="M190" s="115"/>
      <c r="N190" s="114"/>
      <c r="O190" s="114"/>
      <c r="P190" s="122"/>
      <c r="Q190" s="122"/>
      <c r="R190" s="122"/>
      <c r="S190" s="122"/>
      <c r="T190" s="123"/>
      <c r="U190" s="122"/>
      <c r="V190" s="122"/>
      <c r="W190" s="122"/>
      <c r="X190" s="122"/>
      <c r="Y190" s="123"/>
      <c r="AD190" s="119"/>
      <c r="AE190" s="120"/>
      <c r="AF190" s="115"/>
      <c r="AG190" s="119"/>
      <c r="AH190" s="119"/>
      <c r="AI190" s="119"/>
      <c r="AJ190" s="119"/>
      <c r="AK190" s="119"/>
      <c r="AL190" s="119"/>
    </row>
    <row r="191" spans="7:38" x14ac:dyDescent="0.25">
      <c r="G191" s="113"/>
      <c r="H191" s="114"/>
      <c r="I191" s="114"/>
      <c r="J191" s="115"/>
      <c r="K191" s="115"/>
      <c r="L191" s="115"/>
      <c r="M191" s="115"/>
      <c r="N191" s="114"/>
      <c r="O191" s="114"/>
      <c r="P191" s="122"/>
      <c r="Q191" s="122"/>
      <c r="R191" s="122"/>
      <c r="S191" s="122"/>
      <c r="T191" s="123"/>
      <c r="U191" s="122"/>
      <c r="V191" s="122"/>
      <c r="W191" s="122"/>
      <c r="X191" s="122"/>
      <c r="Y191" s="123"/>
      <c r="AD191" s="119"/>
      <c r="AE191" s="120"/>
      <c r="AF191" s="115"/>
      <c r="AG191" s="119"/>
      <c r="AH191" s="119"/>
      <c r="AI191" s="119"/>
      <c r="AJ191" s="119"/>
      <c r="AK191" s="119"/>
      <c r="AL191" s="119"/>
    </row>
    <row r="192" spans="7:38" x14ac:dyDescent="0.25">
      <c r="G192" s="113"/>
      <c r="H192" s="114"/>
      <c r="I192" s="114"/>
      <c r="J192" s="115"/>
      <c r="K192" s="115"/>
      <c r="L192" s="115"/>
      <c r="M192" s="115"/>
      <c r="N192" s="114"/>
      <c r="O192" s="114"/>
      <c r="P192" s="122"/>
      <c r="Q192" s="122"/>
      <c r="R192" s="122"/>
      <c r="S192" s="122"/>
      <c r="T192" s="123"/>
      <c r="U192" s="122"/>
      <c r="V192" s="122"/>
      <c r="W192" s="122"/>
      <c r="X192" s="122"/>
      <c r="Y192" s="123"/>
      <c r="AD192" s="119"/>
      <c r="AE192" s="120"/>
      <c r="AF192" s="115"/>
      <c r="AG192" s="119"/>
      <c r="AH192" s="119"/>
      <c r="AI192" s="119"/>
      <c r="AJ192" s="119"/>
      <c r="AK192" s="119"/>
      <c r="AL192" s="119"/>
    </row>
    <row r="193" spans="7:38" x14ac:dyDescent="0.25">
      <c r="G193" s="113"/>
      <c r="H193" s="114"/>
      <c r="I193" s="114"/>
      <c r="J193" s="115"/>
      <c r="K193" s="115"/>
      <c r="L193" s="115"/>
      <c r="M193" s="115"/>
      <c r="N193" s="114"/>
      <c r="O193" s="114"/>
      <c r="P193" s="122"/>
      <c r="Q193" s="122"/>
      <c r="R193" s="122"/>
      <c r="S193" s="122"/>
      <c r="T193" s="123"/>
      <c r="U193" s="122"/>
      <c r="V193" s="122"/>
      <c r="W193" s="122"/>
      <c r="X193" s="122"/>
      <c r="Y193" s="123"/>
      <c r="AD193" s="119"/>
      <c r="AE193" s="120"/>
      <c r="AF193" s="115"/>
      <c r="AG193" s="119"/>
      <c r="AH193" s="119"/>
      <c r="AI193" s="119"/>
      <c r="AJ193" s="119"/>
      <c r="AK193" s="119"/>
      <c r="AL193" s="119"/>
    </row>
    <row r="194" spans="7:38" x14ac:dyDescent="0.25">
      <c r="G194" s="113"/>
      <c r="H194" s="114"/>
      <c r="I194" s="114"/>
      <c r="J194" s="115"/>
      <c r="K194" s="115"/>
      <c r="L194" s="115"/>
      <c r="M194" s="115"/>
      <c r="N194" s="114"/>
      <c r="O194" s="114"/>
      <c r="P194" s="122"/>
      <c r="Q194" s="122"/>
      <c r="R194" s="122"/>
      <c r="S194" s="122"/>
      <c r="T194" s="123"/>
      <c r="U194" s="122"/>
      <c r="V194" s="122"/>
      <c r="W194" s="122"/>
      <c r="X194" s="122"/>
      <c r="Y194" s="123"/>
      <c r="AD194" s="119"/>
      <c r="AE194" s="120"/>
      <c r="AF194" s="115"/>
      <c r="AG194" s="119"/>
      <c r="AH194" s="119"/>
      <c r="AI194" s="119"/>
      <c r="AJ194" s="119"/>
      <c r="AK194" s="119"/>
      <c r="AL194" s="119"/>
    </row>
    <row r="195" spans="7:38" x14ac:dyDescent="0.25">
      <c r="G195" s="113"/>
      <c r="H195" s="114"/>
      <c r="I195" s="114"/>
      <c r="J195" s="115"/>
      <c r="K195" s="115"/>
      <c r="L195" s="115"/>
      <c r="M195" s="115"/>
      <c r="N195" s="114"/>
      <c r="O195" s="114"/>
      <c r="P195" s="122"/>
      <c r="Q195" s="122"/>
      <c r="R195" s="122"/>
      <c r="S195" s="122"/>
      <c r="T195" s="123"/>
      <c r="U195" s="122"/>
      <c r="V195" s="122"/>
      <c r="W195" s="122"/>
      <c r="X195" s="122"/>
      <c r="Y195" s="123"/>
      <c r="AD195" s="119"/>
      <c r="AE195" s="120"/>
      <c r="AF195" s="115"/>
      <c r="AG195" s="119"/>
      <c r="AH195" s="119"/>
      <c r="AI195" s="119"/>
      <c r="AJ195" s="119"/>
      <c r="AK195" s="119"/>
      <c r="AL195" s="119"/>
    </row>
    <row r="196" spans="7:38" x14ac:dyDescent="0.25">
      <c r="G196" s="113"/>
      <c r="H196" s="114"/>
      <c r="I196" s="114"/>
      <c r="J196" s="115"/>
      <c r="K196" s="115"/>
      <c r="L196" s="115"/>
      <c r="M196" s="115"/>
      <c r="N196" s="114"/>
      <c r="O196" s="114"/>
      <c r="P196" s="122"/>
      <c r="Q196" s="122"/>
      <c r="R196" s="122"/>
      <c r="S196" s="122"/>
      <c r="T196" s="123"/>
      <c r="U196" s="122"/>
      <c r="V196" s="122"/>
      <c r="W196" s="122"/>
      <c r="X196" s="122"/>
      <c r="Y196" s="123"/>
      <c r="AD196" s="119"/>
      <c r="AE196" s="120"/>
      <c r="AF196" s="115"/>
      <c r="AG196" s="119"/>
      <c r="AH196" s="119"/>
      <c r="AI196" s="119"/>
      <c r="AJ196" s="119"/>
      <c r="AK196" s="119"/>
      <c r="AL196" s="119"/>
    </row>
    <row r="197" spans="7:38" x14ac:dyDescent="0.25">
      <c r="G197" s="113"/>
      <c r="H197" s="114"/>
      <c r="I197" s="114"/>
      <c r="J197" s="115"/>
      <c r="K197" s="115"/>
      <c r="L197" s="115"/>
      <c r="M197" s="115"/>
      <c r="N197" s="114"/>
      <c r="O197" s="114"/>
      <c r="P197" s="122"/>
      <c r="Q197" s="122"/>
      <c r="R197" s="122"/>
      <c r="S197" s="122"/>
      <c r="T197" s="123"/>
      <c r="U197" s="122"/>
      <c r="V197" s="122"/>
      <c r="W197" s="122"/>
      <c r="X197" s="122"/>
      <c r="Y197" s="123"/>
      <c r="AD197" s="119"/>
      <c r="AE197" s="120"/>
      <c r="AF197" s="115"/>
      <c r="AG197" s="119"/>
      <c r="AH197" s="119"/>
      <c r="AI197" s="119"/>
      <c r="AJ197" s="119"/>
      <c r="AK197" s="119"/>
      <c r="AL197" s="119"/>
    </row>
    <row r="198" spans="7:38" x14ac:dyDescent="0.25">
      <c r="G198" s="113"/>
      <c r="H198" s="114"/>
      <c r="I198" s="114"/>
      <c r="J198" s="115"/>
      <c r="K198" s="115"/>
      <c r="L198" s="115"/>
      <c r="M198" s="115"/>
      <c r="N198" s="114"/>
      <c r="O198" s="114"/>
      <c r="P198" s="122"/>
      <c r="Q198" s="122"/>
      <c r="R198" s="122"/>
      <c r="S198" s="122"/>
      <c r="T198" s="123"/>
      <c r="U198" s="122"/>
      <c r="V198" s="122"/>
      <c r="W198" s="122"/>
      <c r="X198" s="122"/>
      <c r="Y198" s="123"/>
      <c r="AD198" s="119"/>
      <c r="AE198" s="120"/>
      <c r="AF198" s="115"/>
      <c r="AG198" s="119"/>
      <c r="AH198" s="119"/>
      <c r="AI198" s="119"/>
      <c r="AJ198" s="119"/>
      <c r="AK198" s="119"/>
      <c r="AL198" s="119"/>
    </row>
    <row r="199" spans="7:38" x14ac:dyDescent="0.25">
      <c r="G199" s="113"/>
      <c r="H199" s="114"/>
      <c r="I199" s="114"/>
      <c r="J199" s="115"/>
      <c r="K199" s="115"/>
      <c r="L199" s="115"/>
      <c r="M199" s="115"/>
      <c r="N199" s="114"/>
      <c r="O199" s="114"/>
      <c r="P199" s="122"/>
      <c r="Q199" s="122"/>
      <c r="R199" s="122"/>
      <c r="S199" s="122"/>
      <c r="T199" s="123"/>
      <c r="U199" s="122"/>
      <c r="V199" s="122"/>
      <c r="W199" s="122"/>
      <c r="X199" s="122"/>
      <c r="Y199" s="123"/>
      <c r="AD199" s="119"/>
      <c r="AE199" s="120"/>
      <c r="AF199" s="115"/>
      <c r="AG199" s="119"/>
      <c r="AH199" s="119"/>
      <c r="AI199" s="119"/>
      <c r="AJ199" s="119"/>
      <c r="AK199" s="119"/>
      <c r="AL199" s="119"/>
    </row>
    <row r="200" spans="7:38" x14ac:dyDescent="0.25">
      <c r="G200" s="113"/>
      <c r="H200" s="114"/>
      <c r="I200" s="114"/>
      <c r="J200" s="115"/>
      <c r="K200" s="115"/>
      <c r="L200" s="115"/>
      <c r="M200" s="115"/>
      <c r="N200" s="114"/>
      <c r="O200" s="114"/>
      <c r="P200" s="122"/>
      <c r="Q200" s="122"/>
      <c r="R200" s="122"/>
      <c r="S200" s="122"/>
      <c r="T200" s="123"/>
      <c r="U200" s="122"/>
      <c r="V200" s="122"/>
      <c r="W200" s="122"/>
      <c r="X200" s="122"/>
      <c r="Y200" s="123"/>
      <c r="AD200" s="119"/>
      <c r="AE200" s="120"/>
      <c r="AF200" s="115"/>
      <c r="AG200" s="119"/>
      <c r="AH200" s="119"/>
      <c r="AI200" s="119"/>
      <c r="AJ200" s="119"/>
      <c r="AK200" s="119"/>
      <c r="AL200" s="119"/>
    </row>
    <row r="201" spans="7:38" x14ac:dyDescent="0.25">
      <c r="G201" s="113"/>
      <c r="H201" s="114"/>
      <c r="I201" s="114"/>
      <c r="J201" s="115"/>
      <c r="K201" s="115"/>
      <c r="L201" s="115"/>
      <c r="M201" s="115"/>
      <c r="N201" s="114"/>
      <c r="O201" s="114"/>
      <c r="P201" s="122"/>
      <c r="Q201" s="122"/>
      <c r="R201" s="122"/>
      <c r="S201" s="122"/>
      <c r="T201" s="123"/>
      <c r="U201" s="122"/>
      <c r="V201" s="122"/>
      <c r="W201" s="122"/>
      <c r="X201" s="122"/>
      <c r="Y201" s="123"/>
      <c r="AD201" s="119"/>
      <c r="AE201" s="120"/>
      <c r="AF201" s="115"/>
      <c r="AG201" s="119"/>
      <c r="AH201" s="119"/>
      <c r="AI201" s="119"/>
      <c r="AJ201" s="119"/>
      <c r="AK201" s="119"/>
      <c r="AL201" s="119"/>
    </row>
    <row r="202" spans="7:38" x14ac:dyDescent="0.25">
      <c r="G202" s="113"/>
      <c r="H202" s="114"/>
      <c r="I202" s="114"/>
      <c r="J202" s="115"/>
      <c r="K202" s="115"/>
      <c r="L202" s="115"/>
      <c r="M202" s="115"/>
      <c r="N202" s="114"/>
      <c r="O202" s="114"/>
      <c r="P202" s="122"/>
      <c r="Q202" s="122"/>
      <c r="R202" s="122"/>
      <c r="S202" s="122"/>
      <c r="T202" s="123"/>
      <c r="U202" s="122"/>
      <c r="V202" s="122"/>
      <c r="W202" s="122"/>
      <c r="X202" s="122"/>
      <c r="Y202" s="123"/>
      <c r="AD202" s="119"/>
      <c r="AE202" s="120"/>
      <c r="AF202" s="115"/>
      <c r="AG202" s="119"/>
      <c r="AH202" s="119"/>
      <c r="AI202" s="119"/>
      <c r="AJ202" s="119"/>
      <c r="AK202" s="119"/>
      <c r="AL202" s="119"/>
    </row>
    <row r="203" spans="7:38" x14ac:dyDescent="0.25">
      <c r="G203" s="113"/>
      <c r="H203" s="114"/>
      <c r="I203" s="114"/>
      <c r="J203" s="115"/>
      <c r="K203" s="115"/>
      <c r="L203" s="115"/>
      <c r="M203" s="115"/>
      <c r="N203" s="114"/>
      <c r="O203" s="114"/>
      <c r="P203" s="122"/>
      <c r="Q203" s="122"/>
      <c r="R203" s="122"/>
      <c r="S203" s="122"/>
      <c r="T203" s="123"/>
      <c r="U203" s="122"/>
      <c r="V203" s="122"/>
      <c r="W203" s="122"/>
      <c r="X203" s="122"/>
      <c r="Y203" s="123"/>
      <c r="AD203" s="119"/>
      <c r="AE203" s="120"/>
      <c r="AF203" s="115"/>
      <c r="AG203" s="119"/>
      <c r="AH203" s="119"/>
      <c r="AI203" s="119"/>
      <c r="AJ203" s="119"/>
      <c r="AK203" s="119"/>
      <c r="AL203" s="119"/>
    </row>
    <row r="204" spans="7:38" x14ac:dyDescent="0.25">
      <c r="G204" s="113"/>
      <c r="H204" s="114"/>
      <c r="I204" s="114"/>
      <c r="J204" s="115"/>
      <c r="K204" s="115"/>
      <c r="L204" s="115"/>
      <c r="M204" s="115"/>
      <c r="N204" s="114"/>
      <c r="O204" s="114"/>
      <c r="P204" s="122"/>
      <c r="Q204" s="122"/>
      <c r="R204" s="122"/>
      <c r="S204" s="122"/>
      <c r="T204" s="123"/>
      <c r="U204" s="122"/>
      <c r="V204" s="122"/>
      <c r="W204" s="122"/>
      <c r="X204" s="122"/>
      <c r="Y204" s="123"/>
      <c r="AD204" s="119"/>
      <c r="AE204" s="120"/>
      <c r="AF204" s="115"/>
      <c r="AG204" s="119"/>
      <c r="AH204" s="119"/>
      <c r="AI204" s="119"/>
      <c r="AJ204" s="119"/>
      <c r="AK204" s="119"/>
      <c r="AL204" s="119"/>
    </row>
    <row r="205" spans="7:38" x14ac:dyDescent="0.25">
      <c r="G205" s="113"/>
      <c r="H205" s="114"/>
      <c r="I205" s="114"/>
      <c r="J205" s="115"/>
      <c r="K205" s="115"/>
      <c r="L205" s="115"/>
      <c r="M205" s="115"/>
      <c r="N205" s="114"/>
      <c r="O205" s="114"/>
      <c r="P205" s="122"/>
      <c r="Q205" s="122"/>
      <c r="R205" s="122"/>
      <c r="S205" s="122"/>
      <c r="T205" s="123"/>
      <c r="U205" s="122"/>
      <c r="V205" s="122"/>
      <c r="W205" s="122"/>
      <c r="X205" s="122"/>
      <c r="Y205" s="123"/>
      <c r="AD205" s="119"/>
      <c r="AE205" s="120"/>
      <c r="AF205" s="115"/>
      <c r="AG205" s="119"/>
      <c r="AH205" s="119"/>
      <c r="AI205" s="119"/>
      <c r="AJ205" s="119"/>
      <c r="AK205" s="119"/>
      <c r="AL205" s="119"/>
    </row>
    <row r="206" spans="7:38" x14ac:dyDescent="0.25">
      <c r="G206" s="113"/>
      <c r="H206" s="114"/>
      <c r="I206" s="114"/>
      <c r="J206" s="115"/>
      <c r="K206" s="115"/>
      <c r="L206" s="115"/>
      <c r="M206" s="115"/>
      <c r="N206" s="114"/>
      <c r="O206" s="114"/>
      <c r="P206" s="122"/>
      <c r="Q206" s="122"/>
      <c r="R206" s="122"/>
      <c r="S206" s="122"/>
      <c r="T206" s="123"/>
      <c r="U206" s="122"/>
      <c r="V206" s="122"/>
      <c r="W206" s="122"/>
      <c r="X206" s="122"/>
      <c r="Y206" s="123"/>
      <c r="AD206" s="119"/>
      <c r="AE206" s="120"/>
      <c r="AF206" s="115"/>
      <c r="AG206" s="119"/>
      <c r="AH206" s="119"/>
      <c r="AI206" s="119"/>
      <c r="AJ206" s="119"/>
      <c r="AK206" s="119"/>
      <c r="AL206" s="119"/>
    </row>
    <row r="207" spans="7:38" x14ac:dyDescent="0.25">
      <c r="G207" s="113"/>
      <c r="H207" s="114"/>
      <c r="I207" s="114"/>
      <c r="J207" s="115"/>
      <c r="K207" s="115"/>
      <c r="L207" s="115"/>
      <c r="M207" s="115"/>
      <c r="N207" s="114"/>
      <c r="O207" s="114"/>
      <c r="P207" s="122"/>
      <c r="Q207" s="122"/>
      <c r="R207" s="122"/>
      <c r="S207" s="122"/>
      <c r="T207" s="123"/>
      <c r="U207" s="122"/>
      <c r="V207" s="122"/>
      <c r="W207" s="122"/>
      <c r="X207" s="122"/>
      <c r="Y207" s="123"/>
      <c r="AD207" s="119"/>
      <c r="AE207" s="120"/>
      <c r="AF207" s="115"/>
      <c r="AG207" s="119"/>
      <c r="AH207" s="119"/>
      <c r="AI207" s="119"/>
      <c r="AJ207" s="119"/>
      <c r="AK207" s="119"/>
      <c r="AL207" s="119"/>
    </row>
    <row r="208" spans="7:38" x14ac:dyDescent="0.25">
      <c r="G208" s="113"/>
      <c r="H208" s="114"/>
      <c r="I208" s="114"/>
      <c r="J208" s="115"/>
      <c r="K208" s="115"/>
      <c r="L208" s="115"/>
      <c r="M208" s="115"/>
      <c r="N208" s="114"/>
      <c r="O208" s="114"/>
      <c r="P208" s="122"/>
      <c r="Q208" s="122"/>
      <c r="R208" s="122"/>
      <c r="S208" s="122"/>
      <c r="T208" s="123"/>
      <c r="U208" s="122"/>
      <c r="V208" s="122"/>
      <c r="W208" s="122"/>
      <c r="X208" s="122"/>
      <c r="Y208" s="123"/>
      <c r="AD208" s="119"/>
      <c r="AE208" s="120"/>
      <c r="AF208" s="115"/>
      <c r="AG208" s="119"/>
      <c r="AH208" s="119"/>
      <c r="AI208" s="119"/>
      <c r="AJ208" s="119"/>
      <c r="AK208" s="119"/>
      <c r="AL208" s="119"/>
    </row>
    <row r="209" spans="7:38" x14ac:dyDescent="0.25">
      <c r="G209" s="113"/>
      <c r="H209" s="114"/>
      <c r="I209" s="114"/>
      <c r="J209" s="115"/>
      <c r="K209" s="115"/>
      <c r="L209" s="115"/>
      <c r="M209" s="115"/>
      <c r="N209" s="114"/>
      <c r="O209" s="114"/>
      <c r="P209" s="122"/>
      <c r="Q209" s="122"/>
      <c r="R209" s="122"/>
      <c r="S209" s="122"/>
      <c r="T209" s="123"/>
      <c r="U209" s="122"/>
      <c r="V209" s="122"/>
      <c r="W209" s="122"/>
      <c r="X209" s="122"/>
      <c r="Y209" s="123"/>
      <c r="AD209" s="119"/>
      <c r="AE209" s="120"/>
      <c r="AF209" s="115"/>
      <c r="AG209" s="119"/>
      <c r="AH209" s="119"/>
      <c r="AI209" s="119"/>
      <c r="AJ209" s="119"/>
      <c r="AK209" s="119"/>
      <c r="AL209" s="119"/>
    </row>
    <row r="210" spans="7:38" x14ac:dyDescent="0.25">
      <c r="G210" s="113"/>
      <c r="H210" s="114"/>
      <c r="I210" s="114"/>
      <c r="J210" s="115"/>
      <c r="K210" s="115"/>
      <c r="L210" s="115"/>
      <c r="M210" s="115"/>
      <c r="N210" s="114"/>
      <c r="O210" s="114"/>
      <c r="P210" s="122"/>
      <c r="Q210" s="122"/>
      <c r="R210" s="122"/>
      <c r="S210" s="122"/>
      <c r="T210" s="123"/>
      <c r="U210" s="122"/>
      <c r="V210" s="122"/>
      <c r="W210" s="122"/>
      <c r="X210" s="122"/>
      <c r="Y210" s="123"/>
      <c r="AD210" s="119"/>
      <c r="AE210" s="120"/>
      <c r="AF210" s="115"/>
      <c r="AG210" s="119"/>
      <c r="AH210" s="119"/>
      <c r="AI210" s="119"/>
      <c r="AJ210" s="119"/>
      <c r="AK210" s="119"/>
      <c r="AL210" s="119"/>
    </row>
    <row r="211" spans="7:38" x14ac:dyDescent="0.25">
      <c r="G211" s="113"/>
      <c r="H211" s="114"/>
      <c r="I211" s="114"/>
      <c r="J211" s="115"/>
      <c r="K211" s="115"/>
      <c r="L211" s="115"/>
      <c r="M211" s="115"/>
      <c r="N211" s="114"/>
      <c r="O211" s="114"/>
      <c r="P211" s="122"/>
      <c r="Q211" s="122"/>
      <c r="R211" s="122"/>
      <c r="S211" s="122"/>
      <c r="T211" s="123"/>
      <c r="U211" s="122"/>
      <c r="V211" s="122"/>
      <c r="W211" s="122"/>
      <c r="X211" s="122"/>
      <c r="Y211" s="123"/>
      <c r="AD211" s="119"/>
      <c r="AE211" s="120"/>
      <c r="AF211" s="115"/>
      <c r="AG211" s="119"/>
      <c r="AH211" s="119"/>
      <c r="AI211" s="119"/>
      <c r="AJ211" s="119"/>
      <c r="AK211" s="119"/>
      <c r="AL211" s="119"/>
    </row>
    <row r="212" spans="7:38" x14ac:dyDescent="0.25">
      <c r="G212" s="113"/>
      <c r="H212" s="114"/>
      <c r="I212" s="114"/>
      <c r="J212" s="115"/>
      <c r="K212" s="115"/>
      <c r="L212" s="115"/>
      <c r="M212" s="115"/>
      <c r="N212" s="114"/>
      <c r="O212" s="114"/>
      <c r="P212" s="122"/>
      <c r="Q212" s="122"/>
      <c r="R212" s="122"/>
      <c r="S212" s="122"/>
      <c r="T212" s="123"/>
      <c r="U212" s="122"/>
      <c r="V212" s="122"/>
      <c r="W212" s="122"/>
      <c r="X212" s="122"/>
      <c r="Y212" s="123"/>
      <c r="AD212" s="119"/>
      <c r="AE212" s="120"/>
      <c r="AF212" s="115"/>
      <c r="AG212" s="119"/>
      <c r="AH212" s="119"/>
      <c r="AI212" s="119"/>
      <c r="AJ212" s="119"/>
      <c r="AK212" s="119"/>
      <c r="AL212" s="119"/>
    </row>
    <row r="213" spans="7:38" x14ac:dyDescent="0.25">
      <c r="G213" s="113"/>
      <c r="H213" s="114"/>
      <c r="I213" s="114"/>
      <c r="J213" s="115"/>
      <c r="K213" s="115"/>
      <c r="L213" s="115"/>
      <c r="M213" s="115"/>
      <c r="N213" s="114"/>
      <c r="O213" s="114"/>
      <c r="P213" s="122"/>
      <c r="Q213" s="122"/>
      <c r="R213" s="122"/>
      <c r="S213" s="122"/>
      <c r="T213" s="123"/>
      <c r="U213" s="122"/>
      <c r="V213" s="122"/>
      <c r="W213" s="122"/>
      <c r="X213" s="122"/>
      <c r="Y213" s="123"/>
      <c r="AD213" s="119"/>
      <c r="AE213" s="120"/>
      <c r="AF213" s="115"/>
      <c r="AG213" s="119"/>
      <c r="AH213" s="119"/>
      <c r="AI213" s="119"/>
      <c r="AJ213" s="119"/>
      <c r="AK213" s="119"/>
      <c r="AL213" s="119"/>
    </row>
    <row r="214" spans="7:38" x14ac:dyDescent="0.25">
      <c r="G214" s="113"/>
      <c r="H214" s="114"/>
      <c r="I214" s="114"/>
      <c r="J214" s="115"/>
      <c r="K214" s="115"/>
      <c r="L214" s="115"/>
      <c r="M214" s="115"/>
      <c r="N214" s="114"/>
      <c r="O214" s="114"/>
      <c r="P214" s="122"/>
      <c r="Q214" s="122"/>
      <c r="R214" s="122"/>
      <c r="S214" s="122"/>
      <c r="T214" s="123"/>
      <c r="U214" s="122"/>
      <c r="V214" s="122"/>
      <c r="W214" s="122"/>
      <c r="X214" s="122"/>
      <c r="Y214" s="123"/>
      <c r="AD214" s="119"/>
      <c r="AE214" s="120"/>
      <c r="AF214" s="115"/>
      <c r="AG214" s="119"/>
      <c r="AH214" s="119"/>
      <c r="AI214" s="119"/>
      <c r="AJ214" s="119"/>
      <c r="AK214" s="119"/>
      <c r="AL214" s="119"/>
    </row>
    <row r="215" spans="7:38" x14ac:dyDescent="0.25">
      <c r="G215" s="113"/>
      <c r="H215" s="114"/>
      <c r="I215" s="114"/>
      <c r="J215" s="115"/>
      <c r="K215" s="115"/>
      <c r="L215" s="115"/>
      <c r="M215" s="115"/>
      <c r="N215" s="114"/>
      <c r="O215" s="114"/>
      <c r="P215" s="122"/>
      <c r="Q215" s="122"/>
      <c r="R215" s="122"/>
      <c r="S215" s="122"/>
      <c r="T215" s="123"/>
      <c r="U215" s="122"/>
      <c r="V215" s="122"/>
      <c r="W215" s="122"/>
      <c r="X215" s="122"/>
      <c r="Y215" s="123"/>
      <c r="AD215" s="119"/>
      <c r="AE215" s="120"/>
      <c r="AF215" s="115"/>
      <c r="AG215" s="119"/>
      <c r="AH215" s="119"/>
      <c r="AI215" s="119"/>
      <c r="AJ215" s="119"/>
      <c r="AK215" s="119"/>
      <c r="AL215" s="119"/>
    </row>
    <row r="216" spans="7:38" x14ac:dyDescent="0.25">
      <c r="G216" s="113"/>
      <c r="H216" s="114"/>
      <c r="I216" s="114"/>
      <c r="J216" s="115"/>
      <c r="K216" s="115"/>
      <c r="L216" s="115"/>
      <c r="M216" s="115"/>
      <c r="N216" s="114"/>
      <c r="O216" s="114"/>
      <c r="P216" s="122"/>
      <c r="Q216" s="122"/>
      <c r="R216" s="122"/>
      <c r="S216" s="122"/>
      <c r="T216" s="123"/>
      <c r="U216" s="122"/>
      <c r="V216" s="122"/>
      <c r="W216" s="122"/>
      <c r="X216" s="122"/>
      <c r="Y216" s="123"/>
      <c r="AD216" s="119"/>
      <c r="AE216" s="120"/>
      <c r="AF216" s="115"/>
      <c r="AG216" s="119"/>
      <c r="AH216" s="119"/>
      <c r="AI216" s="119"/>
      <c r="AJ216" s="119"/>
      <c r="AK216" s="119"/>
      <c r="AL216" s="119"/>
    </row>
    <row r="217" spans="7:38" x14ac:dyDescent="0.25">
      <c r="G217" s="113"/>
      <c r="H217" s="114"/>
      <c r="I217" s="114"/>
      <c r="J217" s="115"/>
      <c r="K217" s="115"/>
      <c r="L217" s="115"/>
      <c r="M217" s="115"/>
      <c r="N217" s="114"/>
      <c r="O217" s="114"/>
      <c r="P217" s="122"/>
      <c r="Q217" s="122"/>
      <c r="R217" s="122"/>
      <c r="S217" s="122"/>
      <c r="T217" s="123"/>
      <c r="U217" s="122"/>
      <c r="V217" s="122"/>
      <c r="W217" s="122"/>
      <c r="X217" s="122"/>
      <c r="Y217" s="123"/>
      <c r="AD217" s="119"/>
      <c r="AE217" s="120"/>
      <c r="AF217" s="115"/>
      <c r="AG217" s="119"/>
      <c r="AH217" s="119"/>
      <c r="AI217" s="119"/>
      <c r="AJ217" s="119"/>
      <c r="AK217" s="119"/>
      <c r="AL217" s="119"/>
    </row>
    <row r="218" spans="7:38" x14ac:dyDescent="0.25">
      <c r="G218" s="113"/>
      <c r="H218" s="114"/>
      <c r="I218" s="114"/>
      <c r="J218" s="115"/>
      <c r="K218" s="115"/>
      <c r="L218" s="115"/>
      <c r="M218" s="115"/>
      <c r="N218" s="114"/>
      <c r="O218" s="114"/>
      <c r="P218" s="122"/>
      <c r="Q218" s="122"/>
      <c r="R218" s="122"/>
      <c r="S218" s="122"/>
      <c r="T218" s="123"/>
      <c r="U218" s="122"/>
      <c r="V218" s="122"/>
      <c r="W218" s="122"/>
      <c r="X218" s="122"/>
      <c r="Y218" s="123"/>
      <c r="AD218" s="119"/>
      <c r="AE218" s="120"/>
      <c r="AF218" s="115"/>
      <c r="AG218" s="119"/>
      <c r="AH218" s="119"/>
      <c r="AI218" s="119"/>
      <c r="AJ218" s="119"/>
      <c r="AK218" s="119"/>
      <c r="AL218" s="119"/>
    </row>
    <row r="219" spans="7:38" x14ac:dyDescent="0.25">
      <c r="G219" s="113"/>
      <c r="H219" s="114"/>
      <c r="I219" s="114"/>
      <c r="J219" s="115"/>
      <c r="K219" s="115"/>
      <c r="L219" s="115"/>
      <c r="M219" s="115"/>
      <c r="N219" s="114"/>
      <c r="O219" s="114"/>
      <c r="P219" s="122"/>
      <c r="Q219" s="122"/>
      <c r="R219" s="122"/>
      <c r="S219" s="122"/>
      <c r="T219" s="123"/>
      <c r="U219" s="122"/>
      <c r="V219" s="122"/>
      <c r="W219" s="122"/>
      <c r="X219" s="122"/>
      <c r="Y219" s="123"/>
      <c r="AD219" s="119"/>
      <c r="AE219" s="120"/>
      <c r="AF219" s="115"/>
      <c r="AG219" s="119"/>
      <c r="AH219" s="119"/>
      <c r="AI219" s="119"/>
      <c r="AJ219" s="119"/>
      <c r="AK219" s="119"/>
      <c r="AL219" s="119"/>
    </row>
    <row r="220" spans="7:38" x14ac:dyDescent="0.25">
      <c r="G220" s="113"/>
      <c r="H220" s="114"/>
      <c r="I220" s="114"/>
      <c r="J220" s="115"/>
      <c r="K220" s="115"/>
      <c r="L220" s="115"/>
      <c r="M220" s="115"/>
      <c r="N220" s="114"/>
      <c r="O220" s="114"/>
      <c r="P220" s="122"/>
      <c r="Q220" s="122"/>
      <c r="R220" s="122"/>
      <c r="S220" s="122"/>
      <c r="T220" s="123"/>
      <c r="U220" s="122"/>
      <c r="V220" s="122"/>
      <c r="W220" s="122"/>
      <c r="X220" s="122"/>
      <c r="Y220" s="123"/>
      <c r="AD220" s="119"/>
      <c r="AE220" s="120"/>
      <c r="AF220" s="115"/>
      <c r="AG220" s="119"/>
      <c r="AH220" s="119"/>
      <c r="AI220" s="119"/>
      <c r="AJ220" s="119"/>
      <c r="AK220" s="119"/>
      <c r="AL220" s="119"/>
    </row>
    <row r="221" spans="7:38" x14ac:dyDescent="0.25">
      <c r="G221" s="113"/>
      <c r="H221" s="114"/>
      <c r="I221" s="114"/>
      <c r="J221" s="115"/>
      <c r="K221" s="115"/>
      <c r="L221" s="115"/>
      <c r="M221" s="115"/>
      <c r="N221" s="114"/>
      <c r="O221" s="114"/>
      <c r="P221" s="122"/>
      <c r="Q221" s="122"/>
      <c r="R221" s="122"/>
      <c r="S221" s="122"/>
      <c r="T221" s="123"/>
      <c r="U221" s="122"/>
      <c r="V221" s="122"/>
      <c r="W221" s="122"/>
      <c r="X221" s="122"/>
      <c r="Y221" s="123"/>
      <c r="AD221" s="119"/>
      <c r="AE221" s="120"/>
      <c r="AF221" s="115"/>
      <c r="AG221" s="119"/>
      <c r="AH221" s="119"/>
      <c r="AI221" s="119"/>
      <c r="AJ221" s="119"/>
      <c r="AK221" s="119"/>
      <c r="AL221" s="119"/>
    </row>
    <row r="222" spans="7:38" x14ac:dyDescent="0.25">
      <c r="G222" s="113"/>
      <c r="H222" s="114"/>
      <c r="I222" s="114"/>
      <c r="J222" s="115"/>
      <c r="K222" s="115"/>
      <c r="L222" s="115"/>
      <c r="M222" s="115"/>
      <c r="N222" s="114"/>
      <c r="O222" s="114"/>
      <c r="P222" s="122"/>
      <c r="Q222" s="122"/>
      <c r="R222" s="122"/>
      <c r="S222" s="122"/>
      <c r="T222" s="123"/>
      <c r="U222" s="122"/>
      <c r="V222" s="122"/>
      <c r="W222" s="122"/>
      <c r="X222" s="122"/>
      <c r="Y222" s="123"/>
      <c r="AD222" s="119"/>
      <c r="AE222" s="120"/>
      <c r="AF222" s="115"/>
      <c r="AG222" s="119"/>
      <c r="AH222" s="119"/>
      <c r="AI222" s="119"/>
      <c r="AJ222" s="119"/>
      <c r="AK222" s="119"/>
      <c r="AL222" s="119"/>
    </row>
    <row r="223" spans="7:38" x14ac:dyDescent="0.25">
      <c r="G223" s="113"/>
      <c r="H223" s="114"/>
      <c r="I223" s="114"/>
      <c r="J223" s="115"/>
      <c r="K223" s="115"/>
      <c r="L223" s="115"/>
      <c r="M223" s="115"/>
      <c r="N223" s="114"/>
      <c r="O223" s="114"/>
      <c r="P223" s="122"/>
      <c r="Q223" s="122"/>
      <c r="R223" s="122"/>
      <c r="S223" s="122"/>
      <c r="T223" s="123"/>
      <c r="U223" s="122"/>
      <c r="V223" s="122"/>
      <c r="W223" s="122"/>
      <c r="X223" s="122"/>
      <c r="Y223" s="123"/>
      <c r="AD223" s="119"/>
      <c r="AE223" s="120"/>
      <c r="AF223" s="115"/>
      <c r="AG223" s="119"/>
      <c r="AH223" s="119"/>
      <c r="AI223" s="119"/>
      <c r="AJ223" s="119"/>
      <c r="AK223" s="119"/>
      <c r="AL223" s="119"/>
    </row>
    <row r="224" spans="7:38" x14ac:dyDescent="0.25">
      <c r="G224" s="113"/>
      <c r="H224" s="114"/>
      <c r="I224" s="114"/>
      <c r="J224" s="115"/>
      <c r="K224" s="115"/>
      <c r="L224" s="115"/>
      <c r="M224" s="115"/>
      <c r="N224" s="114"/>
      <c r="O224" s="114"/>
      <c r="P224" s="122"/>
      <c r="Q224" s="122"/>
      <c r="R224" s="122"/>
      <c r="S224" s="122"/>
      <c r="T224" s="123"/>
      <c r="U224" s="122"/>
      <c r="V224" s="122"/>
      <c r="W224" s="122"/>
      <c r="X224" s="122"/>
      <c r="Y224" s="123"/>
      <c r="AD224" s="119"/>
      <c r="AE224" s="120"/>
      <c r="AF224" s="115"/>
      <c r="AG224" s="119"/>
      <c r="AH224" s="119"/>
      <c r="AI224" s="119"/>
      <c r="AJ224" s="119"/>
      <c r="AK224" s="119"/>
      <c r="AL224" s="119"/>
    </row>
    <row r="225" spans="7:38" x14ac:dyDescent="0.25">
      <c r="G225" s="113"/>
      <c r="H225" s="114"/>
      <c r="I225" s="114"/>
      <c r="J225" s="115"/>
      <c r="K225" s="115"/>
      <c r="L225" s="115"/>
      <c r="M225" s="115"/>
      <c r="N225" s="114"/>
      <c r="O225" s="114"/>
      <c r="P225" s="122"/>
      <c r="Q225" s="122"/>
      <c r="R225" s="122"/>
      <c r="S225" s="122"/>
      <c r="T225" s="123"/>
      <c r="U225" s="122"/>
      <c r="V225" s="122"/>
      <c r="W225" s="122"/>
      <c r="X225" s="122"/>
      <c r="Y225" s="123"/>
      <c r="AD225" s="119"/>
      <c r="AE225" s="120"/>
      <c r="AF225" s="115"/>
      <c r="AG225" s="119"/>
      <c r="AH225" s="119"/>
      <c r="AI225" s="119"/>
      <c r="AJ225" s="119"/>
      <c r="AK225" s="119"/>
      <c r="AL225" s="119"/>
    </row>
    <row r="226" spans="7:38" x14ac:dyDescent="0.25">
      <c r="G226" s="113"/>
      <c r="H226" s="114"/>
      <c r="I226" s="114"/>
      <c r="J226" s="115"/>
      <c r="K226" s="115"/>
      <c r="L226" s="115"/>
      <c r="M226" s="115"/>
      <c r="N226" s="114"/>
      <c r="O226" s="114"/>
      <c r="P226" s="122"/>
      <c r="Q226" s="122"/>
      <c r="R226" s="122"/>
      <c r="S226" s="122"/>
      <c r="T226" s="123"/>
      <c r="U226" s="122"/>
      <c r="V226" s="122"/>
      <c r="W226" s="122"/>
      <c r="X226" s="122"/>
      <c r="Y226" s="123"/>
      <c r="AD226" s="119"/>
      <c r="AE226" s="120"/>
      <c r="AF226" s="115"/>
      <c r="AG226" s="119"/>
      <c r="AH226" s="119"/>
      <c r="AI226" s="119"/>
      <c r="AJ226" s="119"/>
      <c r="AK226" s="119"/>
      <c r="AL226" s="119"/>
    </row>
    <row r="227" spans="7:38" x14ac:dyDescent="0.25">
      <c r="G227" s="113"/>
      <c r="H227" s="114"/>
      <c r="I227" s="114"/>
      <c r="J227" s="115"/>
      <c r="K227" s="115"/>
      <c r="L227" s="115"/>
      <c r="M227" s="115"/>
      <c r="N227" s="114"/>
      <c r="O227" s="114"/>
      <c r="P227" s="122"/>
      <c r="Q227" s="122"/>
      <c r="R227" s="122"/>
      <c r="S227" s="122"/>
      <c r="T227" s="123"/>
      <c r="U227" s="122"/>
      <c r="V227" s="122"/>
      <c r="W227" s="122"/>
      <c r="X227" s="122"/>
      <c r="Y227" s="123"/>
      <c r="AD227" s="119"/>
      <c r="AE227" s="120"/>
      <c r="AF227" s="115"/>
      <c r="AG227" s="119"/>
      <c r="AH227" s="119"/>
      <c r="AI227" s="119"/>
      <c r="AJ227" s="119"/>
      <c r="AK227" s="119"/>
      <c r="AL227" s="119"/>
    </row>
    <row r="228" spans="7:38" x14ac:dyDescent="0.25">
      <c r="G228" s="113"/>
      <c r="H228" s="114"/>
      <c r="I228" s="114"/>
      <c r="J228" s="115"/>
      <c r="K228" s="115"/>
      <c r="L228" s="115"/>
      <c r="M228" s="115"/>
      <c r="N228" s="114"/>
      <c r="O228" s="114"/>
      <c r="P228" s="122"/>
      <c r="Q228" s="122"/>
      <c r="R228" s="122"/>
      <c r="S228" s="122"/>
      <c r="T228" s="123"/>
      <c r="U228" s="122"/>
      <c r="V228" s="122"/>
      <c r="W228" s="122"/>
      <c r="X228" s="122"/>
      <c r="Y228" s="123"/>
      <c r="AD228" s="119"/>
      <c r="AE228" s="120"/>
      <c r="AF228" s="115"/>
      <c r="AG228" s="119"/>
      <c r="AH228" s="119"/>
      <c r="AI228" s="119"/>
      <c r="AJ228" s="119"/>
      <c r="AK228" s="119"/>
      <c r="AL228" s="119"/>
    </row>
    <row r="229" spans="7:38" x14ac:dyDescent="0.25">
      <c r="G229" s="113"/>
      <c r="H229" s="114"/>
      <c r="I229" s="114"/>
      <c r="J229" s="115"/>
      <c r="K229" s="115"/>
      <c r="L229" s="115"/>
      <c r="M229" s="115"/>
      <c r="N229" s="114"/>
      <c r="O229" s="114"/>
      <c r="P229" s="122"/>
      <c r="Q229" s="122"/>
      <c r="R229" s="122"/>
      <c r="S229" s="122"/>
      <c r="T229" s="123"/>
      <c r="U229" s="122"/>
      <c r="V229" s="122"/>
      <c r="W229" s="122"/>
      <c r="X229" s="122"/>
      <c r="Y229" s="123"/>
      <c r="AD229" s="119"/>
      <c r="AE229" s="120"/>
      <c r="AF229" s="115"/>
      <c r="AG229" s="119"/>
      <c r="AH229" s="119"/>
      <c r="AI229" s="119"/>
      <c r="AJ229" s="119"/>
      <c r="AK229" s="119"/>
      <c r="AL229" s="119"/>
    </row>
    <row r="230" spans="7:38" x14ac:dyDescent="0.25">
      <c r="G230" s="113"/>
      <c r="H230" s="114"/>
      <c r="I230" s="114"/>
      <c r="J230" s="115"/>
      <c r="K230" s="115"/>
      <c r="L230" s="115"/>
      <c r="M230" s="115"/>
      <c r="N230" s="114"/>
      <c r="O230" s="114"/>
      <c r="P230" s="122"/>
      <c r="Q230" s="122"/>
      <c r="R230" s="122"/>
      <c r="S230" s="122"/>
      <c r="T230" s="123"/>
      <c r="U230" s="122"/>
      <c r="V230" s="122"/>
      <c r="W230" s="122"/>
      <c r="X230" s="122"/>
      <c r="Y230" s="123"/>
      <c r="AD230" s="119"/>
      <c r="AE230" s="120"/>
      <c r="AF230" s="115"/>
      <c r="AG230" s="119"/>
      <c r="AH230" s="119"/>
      <c r="AI230" s="119"/>
      <c r="AJ230" s="119"/>
      <c r="AK230" s="119"/>
      <c r="AL230" s="119"/>
    </row>
    <row r="231" spans="7:38" x14ac:dyDescent="0.25">
      <c r="G231" s="113"/>
      <c r="H231" s="114"/>
      <c r="I231" s="114"/>
      <c r="J231" s="115"/>
      <c r="K231" s="115"/>
      <c r="L231" s="115"/>
      <c r="M231" s="115"/>
      <c r="N231" s="114"/>
      <c r="O231" s="114"/>
      <c r="P231" s="122"/>
      <c r="Q231" s="122"/>
      <c r="R231" s="122"/>
      <c r="S231" s="122"/>
      <c r="T231" s="123"/>
      <c r="U231" s="122"/>
      <c r="V231" s="122"/>
      <c r="W231" s="122"/>
      <c r="X231" s="122"/>
      <c r="Y231" s="123"/>
      <c r="AD231" s="119"/>
      <c r="AE231" s="120"/>
      <c r="AF231" s="115"/>
      <c r="AG231" s="119"/>
      <c r="AH231" s="119"/>
      <c r="AI231" s="119"/>
      <c r="AJ231" s="119"/>
      <c r="AK231" s="119"/>
      <c r="AL231" s="119"/>
    </row>
    <row r="232" spans="7:38" x14ac:dyDescent="0.25">
      <c r="G232" s="113"/>
      <c r="H232" s="114"/>
      <c r="I232" s="114"/>
      <c r="J232" s="115"/>
      <c r="K232" s="115"/>
      <c r="L232" s="115"/>
      <c r="M232" s="115"/>
      <c r="N232" s="114"/>
      <c r="O232" s="114"/>
      <c r="P232" s="122"/>
      <c r="Q232" s="122"/>
      <c r="R232" s="122"/>
      <c r="S232" s="122"/>
      <c r="T232" s="123"/>
      <c r="U232" s="122"/>
      <c r="V232" s="122"/>
      <c r="W232" s="122"/>
      <c r="X232" s="122"/>
      <c r="Y232" s="123"/>
      <c r="AD232" s="119"/>
      <c r="AE232" s="120"/>
      <c r="AF232" s="115"/>
      <c r="AG232" s="119"/>
      <c r="AH232" s="119"/>
      <c r="AI232" s="119"/>
      <c r="AJ232" s="119"/>
      <c r="AK232" s="119"/>
      <c r="AL232" s="119"/>
    </row>
    <row r="233" spans="7:38" x14ac:dyDescent="0.25">
      <c r="G233" s="113"/>
      <c r="H233" s="114"/>
      <c r="I233" s="114"/>
      <c r="J233" s="115"/>
      <c r="K233" s="115"/>
      <c r="L233" s="115"/>
      <c r="M233" s="115"/>
      <c r="N233" s="114"/>
      <c r="O233" s="114"/>
      <c r="P233" s="122"/>
      <c r="Q233" s="122"/>
      <c r="R233" s="122"/>
      <c r="S233" s="122"/>
      <c r="T233" s="123"/>
      <c r="U233" s="122"/>
      <c r="V233" s="122"/>
      <c r="W233" s="122"/>
      <c r="X233" s="122"/>
      <c r="Y233" s="123"/>
      <c r="AD233" s="119"/>
      <c r="AE233" s="120"/>
      <c r="AF233" s="115"/>
      <c r="AG233" s="119"/>
      <c r="AH233" s="119"/>
      <c r="AI233" s="119"/>
      <c r="AJ233" s="119"/>
      <c r="AK233" s="119"/>
      <c r="AL233" s="119"/>
    </row>
    <row r="234" spans="7:38" x14ac:dyDescent="0.25">
      <c r="G234" s="113"/>
      <c r="H234" s="114"/>
      <c r="I234" s="114"/>
      <c r="J234" s="115"/>
      <c r="K234" s="115"/>
      <c r="L234" s="115"/>
      <c r="M234" s="115"/>
      <c r="N234" s="114"/>
      <c r="O234" s="114"/>
      <c r="P234" s="122"/>
      <c r="Q234" s="122"/>
      <c r="R234" s="122"/>
      <c r="S234" s="122"/>
      <c r="T234" s="123"/>
      <c r="U234" s="122"/>
      <c r="V234" s="122"/>
      <c r="W234" s="122"/>
      <c r="X234" s="122"/>
      <c r="Y234" s="123"/>
      <c r="AD234" s="119"/>
      <c r="AE234" s="120"/>
      <c r="AF234" s="115"/>
      <c r="AG234" s="119"/>
      <c r="AH234" s="119"/>
      <c r="AI234" s="119"/>
      <c r="AJ234" s="119"/>
      <c r="AK234" s="119"/>
      <c r="AL234" s="119"/>
    </row>
    <row r="235" spans="7:38" x14ac:dyDescent="0.25">
      <c r="G235" s="113"/>
      <c r="H235" s="114"/>
      <c r="I235" s="114"/>
      <c r="J235" s="115"/>
      <c r="K235" s="115"/>
      <c r="L235" s="115"/>
      <c r="M235" s="115"/>
      <c r="N235" s="114"/>
      <c r="O235" s="114"/>
      <c r="P235" s="122"/>
      <c r="Q235" s="122"/>
      <c r="R235" s="122"/>
      <c r="S235" s="122"/>
      <c r="T235" s="123"/>
      <c r="U235" s="122"/>
      <c r="V235" s="122"/>
      <c r="W235" s="122"/>
      <c r="X235" s="122"/>
      <c r="Y235" s="123"/>
      <c r="AD235" s="119"/>
      <c r="AE235" s="120"/>
      <c r="AF235" s="115"/>
      <c r="AG235" s="119"/>
      <c r="AH235" s="119"/>
      <c r="AI235" s="119"/>
      <c r="AJ235" s="119"/>
      <c r="AK235" s="119"/>
      <c r="AL235" s="119"/>
    </row>
    <row r="236" spans="7:38" x14ac:dyDescent="0.25">
      <c r="G236" s="113"/>
      <c r="H236" s="114"/>
      <c r="I236" s="114"/>
      <c r="J236" s="115"/>
      <c r="K236" s="115"/>
      <c r="L236" s="115"/>
      <c r="M236" s="115"/>
      <c r="N236" s="114"/>
      <c r="O236" s="114"/>
      <c r="P236" s="122"/>
      <c r="Q236" s="122"/>
      <c r="R236" s="122"/>
      <c r="S236" s="122"/>
      <c r="T236" s="123"/>
      <c r="U236" s="122"/>
      <c r="V236" s="122"/>
      <c r="W236" s="122"/>
      <c r="X236" s="122"/>
      <c r="Y236" s="123"/>
      <c r="AD236" s="119"/>
      <c r="AE236" s="120"/>
      <c r="AF236" s="115"/>
      <c r="AG236" s="119"/>
      <c r="AH236" s="119"/>
      <c r="AI236" s="119"/>
      <c r="AJ236" s="119"/>
      <c r="AK236" s="119"/>
      <c r="AL236" s="119"/>
    </row>
    <row r="237" spans="7:38" x14ac:dyDescent="0.25">
      <c r="G237" s="113"/>
      <c r="H237" s="114"/>
      <c r="I237" s="114"/>
      <c r="J237" s="115"/>
      <c r="K237" s="115"/>
      <c r="L237" s="115"/>
      <c r="M237" s="115"/>
      <c r="N237" s="114"/>
      <c r="O237" s="114"/>
      <c r="P237" s="122"/>
      <c r="Q237" s="122"/>
      <c r="R237" s="122"/>
      <c r="S237" s="122"/>
      <c r="T237" s="123"/>
      <c r="U237" s="122"/>
      <c r="V237" s="122"/>
      <c r="W237" s="122"/>
      <c r="X237" s="122"/>
      <c r="Y237" s="123"/>
      <c r="AD237" s="119"/>
      <c r="AE237" s="120"/>
      <c r="AF237" s="115"/>
      <c r="AG237" s="119"/>
      <c r="AH237" s="119"/>
      <c r="AI237" s="119"/>
      <c r="AJ237" s="119"/>
      <c r="AK237" s="119"/>
      <c r="AL237" s="119"/>
    </row>
    <row r="238" spans="7:38" x14ac:dyDescent="0.25">
      <c r="G238" s="113"/>
      <c r="H238" s="114"/>
      <c r="I238" s="114"/>
      <c r="J238" s="115"/>
      <c r="K238" s="115"/>
      <c r="L238" s="115"/>
      <c r="M238" s="115"/>
      <c r="N238" s="114"/>
      <c r="O238" s="114"/>
      <c r="P238" s="122"/>
      <c r="Q238" s="122"/>
      <c r="R238" s="122"/>
      <c r="S238" s="122"/>
      <c r="T238" s="123"/>
      <c r="U238" s="122"/>
      <c r="V238" s="122"/>
      <c r="W238" s="122"/>
      <c r="X238" s="122"/>
      <c r="Y238" s="123"/>
      <c r="AD238" s="119"/>
      <c r="AE238" s="120"/>
      <c r="AF238" s="115"/>
      <c r="AG238" s="119"/>
      <c r="AH238" s="119"/>
      <c r="AI238" s="119"/>
      <c r="AJ238" s="119"/>
      <c r="AK238" s="119"/>
      <c r="AL238" s="119"/>
    </row>
    <row r="239" spans="7:38" x14ac:dyDescent="0.25">
      <c r="G239" s="113"/>
      <c r="H239" s="114"/>
      <c r="I239" s="114"/>
      <c r="J239" s="115"/>
      <c r="K239" s="115"/>
      <c r="L239" s="115"/>
      <c r="M239" s="115"/>
      <c r="N239" s="114"/>
      <c r="O239" s="114"/>
      <c r="P239" s="122"/>
      <c r="Q239" s="122"/>
      <c r="R239" s="122"/>
      <c r="S239" s="122"/>
      <c r="T239" s="123"/>
      <c r="U239" s="122"/>
      <c r="V239" s="122"/>
      <c r="W239" s="122"/>
      <c r="X239" s="122"/>
      <c r="Y239" s="123"/>
      <c r="AD239" s="119"/>
      <c r="AE239" s="120"/>
      <c r="AF239" s="115"/>
      <c r="AG239" s="119"/>
      <c r="AH239" s="119"/>
      <c r="AI239" s="119"/>
      <c r="AJ239" s="119"/>
      <c r="AK239" s="119"/>
      <c r="AL239" s="119"/>
    </row>
    <row r="240" spans="7:38" x14ac:dyDescent="0.25">
      <c r="G240" s="113"/>
      <c r="H240" s="114"/>
      <c r="I240" s="114"/>
      <c r="J240" s="115"/>
      <c r="K240" s="115"/>
      <c r="L240" s="115"/>
      <c r="M240" s="115"/>
      <c r="N240" s="114"/>
      <c r="O240" s="114"/>
      <c r="P240" s="122"/>
      <c r="Q240" s="122"/>
      <c r="R240" s="122"/>
      <c r="S240" s="122"/>
      <c r="T240" s="123"/>
      <c r="U240" s="122"/>
      <c r="V240" s="122"/>
      <c r="W240" s="122"/>
      <c r="X240" s="122"/>
      <c r="Y240" s="123"/>
      <c r="AD240" s="119"/>
      <c r="AE240" s="120"/>
      <c r="AF240" s="115"/>
      <c r="AG240" s="119"/>
      <c r="AH240" s="119"/>
      <c r="AI240" s="119"/>
      <c r="AJ240" s="119"/>
      <c r="AK240" s="119"/>
      <c r="AL240" s="119"/>
    </row>
    <row r="241" spans="7:38" x14ac:dyDescent="0.25">
      <c r="G241" s="113"/>
      <c r="H241" s="114"/>
      <c r="I241" s="114"/>
      <c r="J241" s="115"/>
      <c r="K241" s="115"/>
      <c r="L241" s="115"/>
      <c r="M241" s="115"/>
      <c r="N241" s="114"/>
      <c r="O241" s="114"/>
      <c r="P241" s="122"/>
      <c r="Q241" s="122"/>
      <c r="R241" s="122"/>
      <c r="S241" s="122"/>
      <c r="T241" s="123"/>
      <c r="U241" s="122"/>
      <c r="V241" s="122"/>
      <c r="W241" s="122"/>
      <c r="X241" s="122"/>
      <c r="Y241" s="123"/>
      <c r="AD241" s="119"/>
      <c r="AE241" s="120"/>
      <c r="AF241" s="115"/>
      <c r="AG241" s="119"/>
      <c r="AH241" s="119"/>
      <c r="AI241" s="119"/>
      <c r="AJ241" s="119"/>
      <c r="AK241" s="119"/>
      <c r="AL241" s="119"/>
    </row>
    <row r="242" spans="7:38" x14ac:dyDescent="0.25">
      <c r="G242" s="113"/>
      <c r="H242" s="114"/>
      <c r="I242" s="114"/>
      <c r="J242" s="115"/>
      <c r="K242" s="115"/>
      <c r="L242" s="115"/>
      <c r="M242" s="115"/>
      <c r="N242" s="114"/>
      <c r="O242" s="114"/>
      <c r="P242" s="122"/>
      <c r="Q242" s="122"/>
      <c r="R242" s="122"/>
      <c r="S242" s="122"/>
      <c r="T242" s="123"/>
      <c r="U242" s="122"/>
      <c r="V242" s="122"/>
      <c r="W242" s="122"/>
      <c r="X242" s="122"/>
      <c r="Y242" s="123"/>
      <c r="AD242" s="119"/>
      <c r="AE242" s="120"/>
      <c r="AF242" s="115"/>
      <c r="AG242" s="119"/>
      <c r="AH242" s="119"/>
      <c r="AI242" s="119"/>
      <c r="AJ242" s="119"/>
      <c r="AK242" s="119"/>
      <c r="AL242" s="119"/>
    </row>
    <row r="243" spans="7:38" x14ac:dyDescent="0.25">
      <c r="G243" s="113"/>
      <c r="H243" s="114"/>
      <c r="I243" s="114"/>
      <c r="J243" s="115"/>
      <c r="K243" s="115"/>
      <c r="L243" s="115"/>
      <c r="M243" s="115"/>
      <c r="N243" s="114"/>
      <c r="O243" s="114"/>
      <c r="P243" s="122"/>
      <c r="Q243" s="122"/>
      <c r="R243" s="122"/>
      <c r="S243" s="122"/>
      <c r="T243" s="123"/>
      <c r="U243" s="122"/>
      <c r="V243" s="122"/>
      <c r="W243" s="122"/>
      <c r="X243" s="122"/>
      <c r="Y243" s="123"/>
      <c r="AD243" s="119"/>
      <c r="AE243" s="120"/>
      <c r="AF243" s="115"/>
      <c r="AG243" s="119"/>
      <c r="AH243" s="119"/>
      <c r="AI243" s="119"/>
      <c r="AJ243" s="119"/>
      <c r="AK243" s="119"/>
      <c r="AL243" s="119"/>
    </row>
    <row r="244" spans="7:38" x14ac:dyDescent="0.25">
      <c r="G244" s="113"/>
      <c r="H244" s="114"/>
      <c r="I244" s="114"/>
      <c r="J244" s="115"/>
      <c r="K244" s="115"/>
      <c r="L244" s="115"/>
      <c r="M244" s="115"/>
      <c r="N244" s="114"/>
      <c r="O244" s="114"/>
      <c r="P244" s="122"/>
      <c r="Q244" s="122"/>
      <c r="R244" s="122"/>
      <c r="S244" s="122"/>
      <c r="T244" s="123"/>
      <c r="U244" s="122"/>
      <c r="V244" s="122"/>
      <c r="W244" s="122"/>
      <c r="X244" s="122"/>
      <c r="Y244" s="123"/>
      <c r="AD244" s="119"/>
      <c r="AE244" s="120"/>
      <c r="AF244" s="115"/>
      <c r="AG244" s="119"/>
      <c r="AH244" s="119"/>
      <c r="AI244" s="119"/>
      <c r="AJ244" s="119"/>
      <c r="AK244" s="119"/>
      <c r="AL244" s="119"/>
    </row>
    <row r="245" spans="7:38" x14ac:dyDescent="0.25">
      <c r="G245" s="113"/>
      <c r="H245" s="114"/>
      <c r="I245" s="114"/>
      <c r="J245" s="115"/>
      <c r="K245" s="115"/>
      <c r="L245" s="115"/>
      <c r="M245" s="115"/>
      <c r="N245" s="114"/>
      <c r="O245" s="114"/>
      <c r="P245" s="122"/>
      <c r="Q245" s="122"/>
      <c r="R245" s="122"/>
      <c r="S245" s="122"/>
      <c r="T245" s="123"/>
      <c r="U245" s="122"/>
      <c r="V245" s="122"/>
      <c r="W245" s="122"/>
      <c r="X245" s="122"/>
      <c r="Y245" s="123"/>
      <c r="AD245" s="119"/>
      <c r="AE245" s="120"/>
      <c r="AF245" s="115"/>
      <c r="AG245" s="119"/>
      <c r="AH245" s="119"/>
      <c r="AI245" s="119"/>
      <c r="AJ245" s="119"/>
      <c r="AK245" s="119"/>
      <c r="AL245" s="119"/>
    </row>
    <row r="246" spans="7:38" x14ac:dyDescent="0.25">
      <c r="G246" s="113"/>
      <c r="H246" s="114"/>
      <c r="I246" s="114"/>
      <c r="J246" s="115"/>
      <c r="K246" s="115"/>
      <c r="L246" s="115"/>
      <c r="M246" s="115"/>
      <c r="N246" s="114"/>
      <c r="O246" s="114"/>
      <c r="P246" s="122"/>
      <c r="Q246" s="122"/>
      <c r="R246" s="122"/>
      <c r="S246" s="122"/>
      <c r="T246" s="123"/>
      <c r="U246" s="122"/>
      <c r="V246" s="122"/>
      <c r="W246" s="122"/>
      <c r="X246" s="122"/>
      <c r="Y246" s="123"/>
      <c r="AD246" s="119"/>
      <c r="AE246" s="120"/>
      <c r="AF246" s="115"/>
      <c r="AG246" s="119"/>
      <c r="AH246" s="119"/>
      <c r="AI246" s="119"/>
      <c r="AJ246" s="119"/>
      <c r="AK246" s="119"/>
      <c r="AL246" s="119"/>
    </row>
    <row r="247" spans="7:38" x14ac:dyDescent="0.25">
      <c r="G247" s="113"/>
      <c r="H247" s="114"/>
      <c r="I247" s="114"/>
      <c r="J247" s="115"/>
      <c r="K247" s="115"/>
      <c r="L247" s="115"/>
      <c r="M247" s="115"/>
      <c r="N247" s="114"/>
      <c r="O247" s="114"/>
      <c r="P247" s="122"/>
      <c r="Q247" s="122"/>
      <c r="R247" s="122"/>
      <c r="S247" s="122"/>
      <c r="T247" s="123"/>
      <c r="U247" s="122"/>
      <c r="V247" s="122"/>
      <c r="W247" s="122"/>
      <c r="X247" s="122"/>
      <c r="Y247" s="123"/>
      <c r="AD247" s="119"/>
      <c r="AE247" s="120"/>
      <c r="AF247" s="115"/>
      <c r="AG247" s="119"/>
      <c r="AH247" s="119"/>
      <c r="AI247" s="119"/>
      <c r="AJ247" s="119"/>
      <c r="AK247" s="119"/>
      <c r="AL247" s="119"/>
    </row>
    <row r="248" spans="7:38" x14ac:dyDescent="0.25">
      <c r="G248" s="113"/>
      <c r="H248" s="114"/>
      <c r="I248" s="114"/>
      <c r="J248" s="115"/>
      <c r="K248" s="115"/>
      <c r="L248" s="115"/>
      <c r="M248" s="115"/>
      <c r="N248" s="114"/>
      <c r="O248" s="114"/>
      <c r="P248" s="122"/>
      <c r="Q248" s="122"/>
      <c r="R248" s="122"/>
      <c r="S248" s="122"/>
      <c r="T248" s="123"/>
      <c r="U248" s="122"/>
      <c r="V248" s="122"/>
      <c r="W248" s="122"/>
      <c r="X248" s="122"/>
      <c r="Y248" s="123"/>
      <c r="AD248" s="119"/>
      <c r="AE248" s="120"/>
      <c r="AF248" s="115"/>
      <c r="AG248" s="119"/>
      <c r="AH248" s="119"/>
      <c r="AI248" s="119"/>
      <c r="AJ248" s="119"/>
      <c r="AK248" s="119"/>
      <c r="AL248" s="119"/>
    </row>
    <row r="249" spans="7:38" x14ac:dyDescent="0.25">
      <c r="G249" s="113"/>
      <c r="H249" s="114"/>
      <c r="I249" s="114"/>
      <c r="J249" s="115"/>
      <c r="K249" s="115"/>
      <c r="L249" s="115"/>
      <c r="M249" s="115"/>
      <c r="N249" s="114"/>
      <c r="O249" s="114"/>
      <c r="P249" s="122"/>
      <c r="Q249" s="122"/>
      <c r="R249" s="122"/>
      <c r="S249" s="122"/>
      <c r="T249" s="123"/>
      <c r="U249" s="122"/>
      <c r="V249" s="122"/>
      <c r="W249" s="122"/>
      <c r="X249" s="122"/>
      <c r="Y249" s="123"/>
      <c r="AD249" s="119"/>
      <c r="AE249" s="120"/>
      <c r="AF249" s="115"/>
      <c r="AG249" s="119"/>
      <c r="AH249" s="119"/>
      <c r="AI249" s="119"/>
      <c r="AJ249" s="119"/>
      <c r="AK249" s="119"/>
      <c r="AL249" s="119"/>
    </row>
    <row r="250" spans="7:38" x14ac:dyDescent="0.25">
      <c r="G250" s="113"/>
      <c r="H250" s="114"/>
      <c r="I250" s="114"/>
      <c r="J250" s="115"/>
      <c r="K250" s="115"/>
      <c r="L250" s="115"/>
      <c r="M250" s="115"/>
      <c r="N250" s="114"/>
      <c r="O250" s="114"/>
      <c r="P250" s="122"/>
      <c r="Q250" s="122"/>
      <c r="R250" s="122"/>
      <c r="S250" s="122"/>
      <c r="T250" s="123"/>
      <c r="U250" s="122"/>
      <c r="V250" s="122"/>
      <c r="W250" s="122"/>
      <c r="X250" s="122"/>
      <c r="Y250" s="123"/>
      <c r="AD250" s="119"/>
      <c r="AE250" s="120"/>
      <c r="AF250" s="115"/>
      <c r="AG250" s="119"/>
      <c r="AH250" s="119"/>
      <c r="AI250" s="119"/>
      <c r="AJ250" s="119"/>
      <c r="AK250" s="119"/>
      <c r="AL250" s="119"/>
    </row>
    <row r="251" spans="7:38" x14ac:dyDescent="0.25">
      <c r="G251" s="113"/>
      <c r="H251" s="114"/>
      <c r="I251" s="114"/>
      <c r="J251" s="115"/>
      <c r="K251" s="115"/>
      <c r="L251" s="115"/>
      <c r="M251" s="115"/>
      <c r="N251" s="114"/>
      <c r="O251" s="114"/>
      <c r="P251" s="122"/>
      <c r="Q251" s="122"/>
      <c r="R251" s="122"/>
      <c r="S251" s="122"/>
      <c r="T251" s="123"/>
      <c r="U251" s="122"/>
      <c r="V251" s="122"/>
      <c r="W251" s="122"/>
      <c r="X251" s="122"/>
      <c r="Y251" s="123"/>
      <c r="AD251" s="119"/>
      <c r="AE251" s="120"/>
      <c r="AF251" s="115"/>
      <c r="AG251" s="119"/>
      <c r="AH251" s="119"/>
      <c r="AI251" s="119"/>
      <c r="AJ251" s="119"/>
      <c r="AK251" s="119"/>
      <c r="AL251" s="119"/>
    </row>
    <row r="252" spans="7:38" x14ac:dyDescent="0.25">
      <c r="G252" s="113"/>
      <c r="H252" s="114"/>
      <c r="I252" s="114"/>
      <c r="J252" s="115"/>
      <c r="K252" s="115"/>
      <c r="L252" s="115"/>
      <c r="M252" s="115"/>
      <c r="N252" s="114"/>
      <c r="O252" s="114"/>
      <c r="P252" s="122"/>
      <c r="Q252" s="122"/>
      <c r="R252" s="122"/>
      <c r="S252" s="122"/>
      <c r="T252" s="123"/>
      <c r="U252" s="122"/>
      <c r="V252" s="122"/>
      <c r="W252" s="122"/>
      <c r="X252" s="122"/>
      <c r="Y252" s="123"/>
      <c r="AD252" s="119"/>
      <c r="AE252" s="120"/>
      <c r="AF252" s="115"/>
      <c r="AG252" s="119"/>
      <c r="AH252" s="119"/>
      <c r="AI252" s="119"/>
      <c r="AJ252" s="119"/>
      <c r="AK252" s="119"/>
      <c r="AL252" s="119"/>
    </row>
    <row r="253" spans="7:38" x14ac:dyDescent="0.25">
      <c r="G253" s="113"/>
      <c r="H253" s="114"/>
      <c r="I253" s="114"/>
      <c r="J253" s="115"/>
      <c r="K253" s="115"/>
      <c r="L253" s="115"/>
      <c r="M253" s="115"/>
      <c r="N253" s="114"/>
      <c r="O253" s="114"/>
      <c r="P253" s="122"/>
      <c r="Q253" s="122"/>
      <c r="R253" s="122"/>
      <c r="S253" s="122"/>
      <c r="T253" s="123"/>
      <c r="U253" s="122"/>
      <c r="V253" s="122"/>
      <c r="W253" s="122"/>
      <c r="X253" s="122"/>
      <c r="Y253" s="123"/>
      <c r="AD253" s="119"/>
      <c r="AE253" s="120"/>
      <c r="AF253" s="115"/>
      <c r="AG253" s="119"/>
      <c r="AH253" s="119"/>
      <c r="AI253" s="119"/>
      <c r="AJ253" s="119"/>
      <c r="AK253" s="119"/>
      <c r="AL253" s="119"/>
    </row>
    <row r="254" spans="7:38" x14ac:dyDescent="0.25">
      <c r="G254" s="113"/>
      <c r="H254" s="114"/>
      <c r="I254" s="114"/>
      <c r="J254" s="115"/>
      <c r="K254" s="115"/>
      <c r="L254" s="115"/>
      <c r="M254" s="115"/>
      <c r="N254" s="114"/>
      <c r="O254" s="114"/>
      <c r="P254" s="122"/>
      <c r="Q254" s="122"/>
      <c r="R254" s="122"/>
      <c r="S254" s="122"/>
      <c r="T254" s="123"/>
      <c r="U254" s="122"/>
      <c r="V254" s="122"/>
      <c r="W254" s="122"/>
      <c r="X254" s="122"/>
      <c r="Y254" s="123"/>
      <c r="AD254" s="119"/>
      <c r="AE254" s="120"/>
      <c r="AF254" s="115"/>
      <c r="AG254" s="119"/>
      <c r="AH254" s="119"/>
      <c r="AI254" s="119"/>
      <c r="AJ254" s="119"/>
      <c r="AK254" s="119"/>
      <c r="AL254" s="119"/>
    </row>
    <row r="255" spans="7:38" x14ac:dyDescent="0.25">
      <c r="G255" s="113"/>
      <c r="H255" s="114"/>
      <c r="I255" s="114"/>
      <c r="J255" s="115"/>
      <c r="K255" s="115"/>
      <c r="L255" s="115"/>
      <c r="M255" s="115"/>
      <c r="N255" s="114"/>
      <c r="O255" s="114"/>
      <c r="P255" s="122"/>
      <c r="Q255" s="122"/>
      <c r="R255" s="122"/>
      <c r="S255" s="122"/>
      <c r="T255" s="123"/>
      <c r="U255" s="122"/>
      <c r="V255" s="122"/>
      <c r="W255" s="122"/>
      <c r="X255" s="122"/>
      <c r="Y255" s="123"/>
      <c r="AD255" s="119"/>
      <c r="AE255" s="120"/>
      <c r="AF255" s="115"/>
      <c r="AG255" s="119"/>
      <c r="AH255" s="119"/>
      <c r="AI255" s="119"/>
      <c r="AJ255" s="119"/>
      <c r="AK255" s="119"/>
      <c r="AL255" s="119"/>
    </row>
    <row r="256" spans="7:38" x14ac:dyDescent="0.25">
      <c r="G256" s="113"/>
      <c r="H256" s="114"/>
      <c r="I256" s="114"/>
      <c r="J256" s="115"/>
      <c r="K256" s="115"/>
      <c r="L256" s="115"/>
      <c r="M256" s="115"/>
      <c r="N256" s="114"/>
      <c r="O256" s="114"/>
      <c r="P256" s="122"/>
      <c r="Q256" s="122"/>
      <c r="R256" s="122"/>
      <c r="S256" s="122"/>
      <c r="T256" s="123"/>
      <c r="U256" s="122"/>
      <c r="V256" s="122"/>
      <c r="W256" s="122"/>
      <c r="X256" s="122"/>
      <c r="Y256" s="123"/>
      <c r="AD256" s="119"/>
      <c r="AE256" s="120"/>
      <c r="AF256" s="115"/>
      <c r="AG256" s="119"/>
      <c r="AH256" s="119"/>
      <c r="AI256" s="119"/>
      <c r="AJ256" s="119"/>
      <c r="AK256" s="119"/>
      <c r="AL256" s="119"/>
    </row>
    <row r="257" spans="7:38" x14ac:dyDescent="0.25">
      <c r="G257" s="113"/>
      <c r="H257" s="114"/>
      <c r="I257" s="114"/>
      <c r="J257" s="115"/>
      <c r="K257" s="115"/>
      <c r="L257" s="115"/>
      <c r="M257" s="115"/>
      <c r="N257" s="114"/>
      <c r="O257" s="114"/>
      <c r="P257" s="122"/>
      <c r="Q257" s="122"/>
      <c r="R257" s="122"/>
      <c r="S257" s="122"/>
      <c r="T257" s="123"/>
      <c r="U257" s="122"/>
      <c r="V257" s="122"/>
      <c r="W257" s="122"/>
      <c r="X257" s="122"/>
      <c r="Y257" s="123"/>
      <c r="AD257" s="119"/>
      <c r="AE257" s="120"/>
      <c r="AF257" s="115"/>
      <c r="AG257" s="119"/>
      <c r="AH257" s="119"/>
      <c r="AI257" s="119"/>
      <c r="AJ257" s="119"/>
      <c r="AK257" s="119"/>
      <c r="AL257" s="119"/>
    </row>
    <row r="258" spans="7:38" x14ac:dyDescent="0.25">
      <c r="G258" s="113"/>
      <c r="H258" s="114"/>
      <c r="I258" s="114"/>
      <c r="J258" s="115"/>
      <c r="K258" s="115"/>
      <c r="L258" s="115"/>
      <c r="M258" s="115"/>
      <c r="N258" s="114"/>
      <c r="O258" s="114"/>
      <c r="P258" s="122"/>
      <c r="Q258" s="122"/>
      <c r="R258" s="122"/>
      <c r="S258" s="122"/>
      <c r="T258" s="123"/>
      <c r="U258" s="122"/>
      <c r="V258" s="122"/>
      <c r="W258" s="122"/>
      <c r="X258" s="122"/>
      <c r="Y258" s="123"/>
      <c r="AD258" s="119"/>
      <c r="AE258" s="120"/>
      <c r="AF258" s="115"/>
      <c r="AG258" s="119"/>
      <c r="AH258" s="119"/>
      <c r="AI258" s="119"/>
      <c r="AJ258" s="119"/>
      <c r="AK258" s="119"/>
      <c r="AL258" s="119"/>
    </row>
    <row r="259" spans="7:38" x14ac:dyDescent="0.25">
      <c r="G259" s="113"/>
      <c r="H259" s="114"/>
      <c r="I259" s="114"/>
      <c r="J259" s="115"/>
      <c r="K259" s="115"/>
      <c r="L259" s="115"/>
      <c r="M259" s="115"/>
      <c r="N259" s="114"/>
      <c r="O259" s="114"/>
      <c r="P259" s="122"/>
      <c r="Q259" s="122"/>
      <c r="R259" s="122"/>
      <c r="S259" s="122"/>
      <c r="T259" s="123"/>
      <c r="U259" s="122"/>
      <c r="V259" s="122"/>
      <c r="W259" s="122"/>
      <c r="X259" s="122"/>
      <c r="Y259" s="123"/>
      <c r="AD259" s="119"/>
      <c r="AE259" s="120"/>
      <c r="AF259" s="115"/>
      <c r="AG259" s="119"/>
      <c r="AH259" s="119"/>
      <c r="AI259" s="119"/>
      <c r="AJ259" s="119"/>
      <c r="AK259" s="119"/>
      <c r="AL259" s="119"/>
    </row>
    <row r="260" spans="7:38" x14ac:dyDescent="0.25">
      <c r="G260" s="113"/>
      <c r="H260" s="114"/>
      <c r="I260" s="114"/>
      <c r="J260" s="115"/>
      <c r="K260" s="115"/>
      <c r="L260" s="115"/>
      <c r="M260" s="115"/>
      <c r="N260" s="114"/>
      <c r="O260" s="114"/>
      <c r="P260" s="122"/>
      <c r="Q260" s="122"/>
      <c r="R260" s="122"/>
      <c r="S260" s="122"/>
      <c r="T260" s="123"/>
      <c r="U260" s="122"/>
      <c r="V260" s="122"/>
      <c r="W260" s="122"/>
      <c r="X260" s="122"/>
      <c r="Y260" s="123"/>
      <c r="AD260" s="119"/>
      <c r="AE260" s="120"/>
      <c r="AF260" s="115"/>
      <c r="AG260" s="119"/>
      <c r="AH260" s="119"/>
      <c r="AI260" s="119"/>
      <c r="AJ260" s="119"/>
      <c r="AK260" s="119"/>
      <c r="AL260" s="119"/>
    </row>
    <row r="261" spans="7:38" x14ac:dyDescent="0.25">
      <c r="G261" s="113"/>
      <c r="H261" s="114"/>
      <c r="I261" s="114"/>
      <c r="J261" s="115"/>
      <c r="K261" s="115"/>
      <c r="L261" s="115"/>
      <c r="M261" s="115"/>
      <c r="N261" s="114"/>
      <c r="O261" s="114"/>
      <c r="P261" s="122"/>
      <c r="Q261" s="122"/>
      <c r="R261" s="122"/>
      <c r="S261" s="122"/>
      <c r="T261" s="123"/>
      <c r="U261" s="122"/>
      <c r="V261" s="122"/>
      <c r="W261" s="122"/>
      <c r="X261" s="122"/>
      <c r="Y261" s="123"/>
      <c r="AD261" s="119"/>
      <c r="AE261" s="120"/>
      <c r="AF261" s="115"/>
      <c r="AG261" s="119"/>
      <c r="AH261" s="119"/>
      <c r="AI261" s="119"/>
      <c r="AJ261" s="119"/>
      <c r="AK261" s="119"/>
      <c r="AL261" s="119"/>
    </row>
    <row r="262" spans="7:38" x14ac:dyDescent="0.25">
      <c r="G262" s="113"/>
      <c r="H262" s="114"/>
      <c r="I262" s="114"/>
      <c r="J262" s="115"/>
      <c r="K262" s="115"/>
      <c r="L262" s="115"/>
      <c r="M262" s="115"/>
      <c r="N262" s="114"/>
      <c r="O262" s="114"/>
      <c r="P262" s="122"/>
      <c r="Q262" s="122"/>
      <c r="R262" s="122"/>
      <c r="S262" s="122"/>
      <c r="T262" s="123"/>
      <c r="U262" s="122"/>
      <c r="V262" s="122"/>
      <c r="W262" s="122"/>
      <c r="X262" s="122"/>
      <c r="Y262" s="123"/>
      <c r="AD262" s="119"/>
      <c r="AE262" s="120"/>
      <c r="AF262" s="115"/>
      <c r="AG262" s="119"/>
      <c r="AH262" s="119"/>
      <c r="AI262" s="119"/>
      <c r="AJ262" s="119"/>
      <c r="AK262" s="119"/>
      <c r="AL262" s="119"/>
    </row>
    <row r="263" spans="7:38" x14ac:dyDescent="0.25">
      <c r="G263" s="113"/>
      <c r="H263" s="114"/>
      <c r="I263" s="114"/>
      <c r="J263" s="115"/>
      <c r="K263" s="115"/>
      <c r="L263" s="115"/>
      <c r="M263" s="115"/>
      <c r="N263" s="114"/>
      <c r="O263" s="114"/>
      <c r="P263" s="122"/>
      <c r="Q263" s="122"/>
      <c r="R263" s="122"/>
      <c r="S263" s="122"/>
      <c r="T263" s="123"/>
      <c r="U263" s="122"/>
      <c r="V263" s="122"/>
      <c r="W263" s="122"/>
      <c r="X263" s="122"/>
      <c r="Y263" s="123"/>
      <c r="AD263" s="119"/>
      <c r="AE263" s="120"/>
      <c r="AF263" s="115"/>
      <c r="AG263" s="119"/>
      <c r="AH263" s="119"/>
      <c r="AI263" s="119"/>
      <c r="AJ263" s="119"/>
      <c r="AK263" s="119"/>
      <c r="AL263" s="119"/>
    </row>
    <row r="264" spans="7:38" x14ac:dyDescent="0.25">
      <c r="G264" s="113"/>
      <c r="H264" s="114"/>
      <c r="I264" s="114"/>
      <c r="J264" s="115"/>
      <c r="K264" s="115"/>
      <c r="L264" s="115"/>
      <c r="M264" s="115"/>
      <c r="N264" s="114"/>
      <c r="O264" s="114"/>
      <c r="P264" s="122"/>
      <c r="Q264" s="122"/>
      <c r="R264" s="122"/>
      <c r="S264" s="122"/>
      <c r="T264" s="123"/>
      <c r="U264" s="122"/>
      <c r="V264" s="122"/>
      <c r="W264" s="122"/>
      <c r="X264" s="122"/>
      <c r="Y264" s="123"/>
      <c r="AD264" s="119"/>
      <c r="AE264" s="120"/>
      <c r="AF264" s="115"/>
      <c r="AG264" s="119"/>
      <c r="AH264" s="119"/>
      <c r="AI264" s="119"/>
      <c r="AJ264" s="119"/>
      <c r="AK264" s="119"/>
      <c r="AL264" s="119"/>
    </row>
    <row r="265" spans="7:38" x14ac:dyDescent="0.25">
      <c r="G265" s="113"/>
      <c r="H265" s="114"/>
      <c r="I265" s="114"/>
      <c r="J265" s="115"/>
      <c r="K265" s="115"/>
      <c r="L265" s="115"/>
      <c r="M265" s="115"/>
      <c r="N265" s="114"/>
      <c r="O265" s="114"/>
      <c r="P265" s="122"/>
      <c r="Q265" s="122"/>
      <c r="R265" s="122"/>
      <c r="S265" s="122"/>
      <c r="T265" s="123"/>
      <c r="U265" s="122"/>
      <c r="V265" s="122"/>
      <c r="W265" s="122"/>
      <c r="X265" s="122"/>
      <c r="Y265" s="123"/>
      <c r="AD265" s="119"/>
      <c r="AE265" s="120"/>
      <c r="AF265" s="115"/>
      <c r="AG265" s="119"/>
      <c r="AH265" s="119"/>
      <c r="AI265" s="119"/>
      <c r="AJ265" s="119"/>
      <c r="AK265" s="119"/>
      <c r="AL265" s="119"/>
    </row>
    <row r="266" spans="7:38" x14ac:dyDescent="0.25">
      <c r="G266" s="113"/>
      <c r="H266" s="114"/>
      <c r="I266" s="114"/>
      <c r="J266" s="115"/>
      <c r="K266" s="115"/>
      <c r="L266" s="115"/>
      <c r="M266" s="115"/>
      <c r="N266" s="114"/>
      <c r="O266" s="114"/>
      <c r="P266" s="122"/>
      <c r="Q266" s="122"/>
      <c r="R266" s="122"/>
      <c r="S266" s="122"/>
      <c r="T266" s="123"/>
      <c r="U266" s="122"/>
      <c r="V266" s="122"/>
      <c r="W266" s="122"/>
      <c r="X266" s="122"/>
      <c r="Y266" s="123"/>
      <c r="AD266" s="119"/>
      <c r="AE266" s="120"/>
      <c r="AF266" s="115"/>
      <c r="AG266" s="119"/>
      <c r="AH266" s="119"/>
      <c r="AI266" s="119"/>
      <c r="AJ266" s="119"/>
      <c r="AK266" s="119"/>
      <c r="AL266" s="119"/>
    </row>
    <row r="267" spans="7:38" x14ac:dyDescent="0.25">
      <c r="G267" s="113"/>
      <c r="H267" s="114"/>
      <c r="I267" s="114"/>
      <c r="J267" s="115"/>
      <c r="K267" s="115"/>
      <c r="L267" s="115"/>
      <c r="M267" s="115"/>
      <c r="N267" s="114"/>
      <c r="O267" s="114"/>
      <c r="P267" s="122"/>
      <c r="Q267" s="122"/>
      <c r="R267" s="122"/>
      <c r="S267" s="122"/>
      <c r="T267" s="123"/>
      <c r="U267" s="122"/>
      <c r="V267" s="122"/>
      <c r="W267" s="122"/>
      <c r="X267" s="122"/>
      <c r="Y267" s="123"/>
      <c r="AD267" s="119"/>
      <c r="AE267" s="120"/>
      <c r="AF267" s="115"/>
      <c r="AG267" s="119"/>
      <c r="AH267" s="119"/>
      <c r="AI267" s="119"/>
      <c r="AJ267" s="119"/>
      <c r="AK267" s="119"/>
      <c r="AL267" s="119"/>
    </row>
    <row r="268" spans="7:38" x14ac:dyDescent="0.25">
      <c r="G268" s="113"/>
      <c r="H268" s="114"/>
      <c r="I268" s="114"/>
      <c r="J268" s="115"/>
      <c r="K268" s="115"/>
      <c r="L268" s="115"/>
      <c r="M268" s="115"/>
      <c r="N268" s="114"/>
      <c r="O268" s="114"/>
      <c r="P268" s="122"/>
      <c r="Q268" s="122"/>
      <c r="R268" s="122"/>
      <c r="S268" s="122"/>
      <c r="T268" s="123"/>
      <c r="U268" s="122"/>
      <c r="V268" s="122"/>
      <c r="W268" s="122"/>
      <c r="X268" s="122"/>
      <c r="Y268" s="123"/>
      <c r="AD268" s="119"/>
      <c r="AE268" s="120"/>
      <c r="AF268" s="115"/>
      <c r="AG268" s="119"/>
      <c r="AH268" s="119"/>
      <c r="AI268" s="119"/>
      <c r="AJ268" s="119"/>
      <c r="AK268" s="119"/>
      <c r="AL268" s="119"/>
    </row>
    <row r="269" spans="7:38" x14ac:dyDescent="0.25">
      <c r="G269" s="113"/>
      <c r="H269" s="114"/>
      <c r="I269" s="114"/>
      <c r="J269" s="115"/>
      <c r="K269" s="115"/>
      <c r="L269" s="115"/>
      <c r="M269" s="115"/>
      <c r="N269" s="114"/>
      <c r="O269" s="114"/>
      <c r="P269" s="122"/>
      <c r="Q269" s="122"/>
      <c r="R269" s="122"/>
      <c r="S269" s="122"/>
      <c r="T269" s="123"/>
      <c r="U269" s="122"/>
      <c r="V269" s="122"/>
      <c r="W269" s="122"/>
      <c r="X269" s="122"/>
      <c r="Y269" s="123"/>
      <c r="AD269" s="119"/>
      <c r="AE269" s="120"/>
      <c r="AF269" s="115"/>
      <c r="AG269" s="119"/>
      <c r="AH269" s="119"/>
      <c r="AI269" s="119"/>
      <c r="AJ269" s="119"/>
      <c r="AK269" s="119"/>
      <c r="AL269" s="119"/>
    </row>
    <row r="270" spans="7:38" x14ac:dyDescent="0.25">
      <c r="G270" s="113"/>
      <c r="H270" s="114"/>
      <c r="I270" s="114"/>
      <c r="J270" s="115"/>
      <c r="K270" s="115"/>
      <c r="L270" s="115"/>
      <c r="M270" s="115"/>
      <c r="N270" s="114"/>
      <c r="O270" s="114"/>
      <c r="P270" s="122"/>
      <c r="Q270" s="122"/>
      <c r="R270" s="122"/>
      <c r="S270" s="122"/>
      <c r="T270" s="123"/>
      <c r="U270" s="122"/>
      <c r="V270" s="122"/>
      <c r="W270" s="122"/>
      <c r="X270" s="122"/>
      <c r="Y270" s="123"/>
      <c r="AD270" s="119"/>
      <c r="AE270" s="120"/>
      <c r="AF270" s="115"/>
      <c r="AG270" s="119"/>
      <c r="AH270" s="119"/>
      <c r="AI270" s="119"/>
      <c r="AJ270" s="119"/>
      <c r="AK270" s="119"/>
      <c r="AL270" s="119"/>
    </row>
    <row r="271" spans="7:38" x14ac:dyDescent="0.25">
      <c r="G271" s="113"/>
      <c r="H271" s="114"/>
      <c r="I271" s="114"/>
      <c r="J271" s="115"/>
      <c r="K271" s="115"/>
      <c r="L271" s="115"/>
      <c r="M271" s="115"/>
      <c r="N271" s="114"/>
      <c r="O271" s="114"/>
      <c r="P271" s="122"/>
      <c r="Q271" s="122"/>
      <c r="R271" s="122"/>
      <c r="S271" s="122"/>
      <c r="T271" s="123"/>
      <c r="U271" s="122"/>
      <c r="V271" s="122"/>
      <c r="W271" s="122"/>
      <c r="X271" s="122"/>
      <c r="Y271" s="123"/>
      <c r="AD271" s="119"/>
      <c r="AE271" s="120"/>
      <c r="AF271" s="115"/>
      <c r="AG271" s="119"/>
      <c r="AH271" s="119"/>
      <c r="AI271" s="119"/>
      <c r="AJ271" s="119"/>
      <c r="AK271" s="119"/>
      <c r="AL271" s="119"/>
    </row>
    <row r="272" spans="7:38" x14ac:dyDescent="0.25">
      <c r="G272" s="113"/>
      <c r="H272" s="114"/>
      <c r="I272" s="114"/>
      <c r="J272" s="115"/>
      <c r="K272" s="115"/>
      <c r="L272" s="115"/>
      <c r="M272" s="115"/>
      <c r="N272" s="114"/>
      <c r="O272" s="114"/>
      <c r="P272" s="122"/>
      <c r="Q272" s="122"/>
      <c r="R272" s="122"/>
      <c r="S272" s="122"/>
      <c r="T272" s="123"/>
      <c r="U272" s="122"/>
      <c r="V272" s="122"/>
      <c r="W272" s="122"/>
      <c r="X272" s="122"/>
      <c r="Y272" s="123"/>
      <c r="AD272" s="119"/>
      <c r="AE272" s="120"/>
      <c r="AF272" s="115"/>
      <c r="AG272" s="119"/>
      <c r="AH272" s="119"/>
      <c r="AI272" s="119"/>
      <c r="AJ272" s="119"/>
      <c r="AK272" s="119"/>
      <c r="AL272" s="119"/>
    </row>
    <row r="273" spans="7:38" x14ac:dyDescent="0.25">
      <c r="G273" s="113"/>
      <c r="H273" s="114"/>
      <c r="I273" s="114"/>
      <c r="J273" s="115"/>
      <c r="K273" s="115"/>
      <c r="L273" s="115"/>
      <c r="M273" s="115"/>
      <c r="N273" s="114"/>
      <c r="O273" s="114"/>
      <c r="P273" s="122"/>
      <c r="Q273" s="122"/>
      <c r="R273" s="122"/>
      <c r="S273" s="122"/>
      <c r="T273" s="123"/>
      <c r="U273" s="122"/>
      <c r="V273" s="122"/>
      <c r="W273" s="122"/>
      <c r="X273" s="122"/>
      <c r="Y273" s="123"/>
      <c r="AD273" s="119"/>
      <c r="AE273" s="120"/>
      <c r="AF273" s="115"/>
      <c r="AG273" s="119"/>
      <c r="AH273" s="119"/>
      <c r="AI273" s="119"/>
      <c r="AJ273" s="119"/>
      <c r="AK273" s="119"/>
      <c r="AL273" s="119"/>
    </row>
    <row r="274" spans="7:38" x14ac:dyDescent="0.25">
      <c r="G274" s="113"/>
      <c r="H274" s="114"/>
      <c r="I274" s="114"/>
      <c r="J274" s="115"/>
      <c r="K274" s="115"/>
      <c r="L274" s="115"/>
      <c r="M274" s="115"/>
      <c r="N274" s="114"/>
      <c r="O274" s="114"/>
      <c r="P274" s="122"/>
      <c r="Q274" s="122"/>
      <c r="R274" s="122"/>
      <c r="S274" s="122"/>
      <c r="T274" s="123"/>
      <c r="U274" s="122"/>
      <c r="V274" s="122"/>
      <c r="W274" s="122"/>
      <c r="X274" s="122"/>
      <c r="Y274" s="123"/>
      <c r="AD274" s="119"/>
      <c r="AE274" s="120"/>
      <c r="AF274" s="115"/>
      <c r="AG274" s="119"/>
      <c r="AH274" s="119"/>
      <c r="AI274" s="119"/>
      <c r="AJ274" s="119"/>
      <c r="AK274" s="119"/>
      <c r="AL274" s="119"/>
    </row>
    <row r="275" spans="7:38" x14ac:dyDescent="0.25">
      <c r="G275" s="113"/>
      <c r="H275" s="114"/>
      <c r="I275" s="114"/>
      <c r="J275" s="115"/>
      <c r="K275" s="115"/>
      <c r="L275" s="115"/>
      <c r="M275" s="115"/>
      <c r="N275" s="114"/>
      <c r="O275" s="114"/>
      <c r="P275" s="122"/>
      <c r="Q275" s="122"/>
      <c r="R275" s="122"/>
      <c r="S275" s="122"/>
      <c r="T275" s="123"/>
      <c r="U275" s="122"/>
      <c r="V275" s="122"/>
      <c r="W275" s="122"/>
      <c r="X275" s="122"/>
      <c r="Y275" s="123"/>
      <c r="AD275" s="119"/>
      <c r="AE275" s="120"/>
      <c r="AF275" s="115"/>
      <c r="AG275" s="119"/>
      <c r="AH275" s="119"/>
      <c r="AI275" s="119"/>
      <c r="AJ275" s="119"/>
      <c r="AK275" s="119"/>
      <c r="AL275" s="119"/>
    </row>
    <row r="276" spans="7:38" x14ac:dyDescent="0.25">
      <c r="G276" s="113"/>
      <c r="H276" s="114"/>
      <c r="I276" s="114"/>
      <c r="J276" s="115"/>
      <c r="K276" s="115"/>
      <c r="L276" s="115"/>
      <c r="M276" s="115"/>
      <c r="N276" s="114"/>
      <c r="O276" s="114"/>
      <c r="P276" s="122"/>
      <c r="Q276" s="122"/>
      <c r="R276" s="122"/>
      <c r="S276" s="122"/>
      <c r="T276" s="123"/>
      <c r="U276" s="122"/>
      <c r="V276" s="122"/>
      <c r="W276" s="122"/>
      <c r="X276" s="122"/>
      <c r="Y276" s="123"/>
      <c r="AD276" s="119"/>
      <c r="AE276" s="120"/>
      <c r="AF276" s="115"/>
      <c r="AG276" s="119"/>
      <c r="AH276" s="119"/>
      <c r="AI276" s="119"/>
      <c r="AJ276" s="119"/>
      <c r="AK276" s="119"/>
      <c r="AL276" s="119"/>
    </row>
    <row r="277" spans="7:38" x14ac:dyDescent="0.25">
      <c r="G277" s="113"/>
      <c r="H277" s="114"/>
      <c r="I277" s="114"/>
      <c r="J277" s="115"/>
      <c r="K277" s="115"/>
      <c r="L277" s="115"/>
      <c r="M277" s="115"/>
      <c r="N277" s="114"/>
      <c r="O277" s="114"/>
      <c r="P277" s="122"/>
      <c r="Q277" s="122"/>
      <c r="R277" s="122"/>
      <c r="S277" s="122"/>
      <c r="T277" s="123"/>
      <c r="U277" s="122"/>
      <c r="V277" s="122"/>
      <c r="W277" s="122"/>
      <c r="X277" s="122"/>
      <c r="Y277" s="123"/>
      <c r="AD277" s="119"/>
      <c r="AE277" s="120"/>
      <c r="AF277" s="115"/>
      <c r="AG277" s="119"/>
      <c r="AH277" s="119"/>
      <c r="AI277" s="119"/>
      <c r="AJ277" s="119"/>
      <c r="AK277" s="119"/>
      <c r="AL277" s="119"/>
    </row>
    <row r="278" spans="7:38" x14ac:dyDescent="0.25">
      <c r="G278" s="113"/>
      <c r="H278" s="114"/>
      <c r="I278" s="114"/>
      <c r="J278" s="115"/>
      <c r="K278" s="115"/>
      <c r="L278" s="115"/>
      <c r="M278" s="115"/>
      <c r="N278" s="114"/>
      <c r="O278" s="114"/>
      <c r="P278" s="122"/>
      <c r="Q278" s="122"/>
      <c r="R278" s="122"/>
      <c r="S278" s="122"/>
      <c r="T278" s="123"/>
      <c r="U278" s="122"/>
      <c r="V278" s="122"/>
      <c r="W278" s="122"/>
      <c r="X278" s="122"/>
      <c r="Y278" s="123"/>
      <c r="AD278" s="119"/>
      <c r="AE278" s="120"/>
      <c r="AF278" s="115"/>
      <c r="AG278" s="119"/>
      <c r="AH278" s="119"/>
      <c r="AI278" s="119"/>
      <c r="AJ278" s="119"/>
      <c r="AK278" s="119"/>
      <c r="AL278" s="119"/>
    </row>
    <row r="279" spans="7:38" x14ac:dyDescent="0.25">
      <c r="G279" s="113"/>
      <c r="H279" s="114"/>
      <c r="I279" s="114"/>
      <c r="J279" s="115"/>
      <c r="K279" s="115"/>
      <c r="L279" s="115"/>
      <c r="M279" s="115"/>
      <c r="N279" s="114"/>
      <c r="O279" s="114"/>
      <c r="P279" s="122"/>
      <c r="Q279" s="122"/>
      <c r="R279" s="122"/>
      <c r="S279" s="122"/>
      <c r="T279" s="123"/>
      <c r="U279" s="122"/>
      <c r="V279" s="122"/>
      <c r="W279" s="122"/>
      <c r="X279" s="122"/>
      <c r="Y279" s="123"/>
      <c r="AD279" s="119"/>
      <c r="AE279" s="120"/>
      <c r="AF279" s="115"/>
      <c r="AG279" s="119"/>
      <c r="AH279" s="119"/>
      <c r="AI279" s="119"/>
      <c r="AJ279" s="119"/>
      <c r="AK279" s="119"/>
      <c r="AL279" s="119"/>
    </row>
    <row r="280" spans="7:38" x14ac:dyDescent="0.25">
      <c r="G280" s="113"/>
      <c r="H280" s="114"/>
      <c r="I280" s="114"/>
      <c r="J280" s="115"/>
      <c r="K280" s="115"/>
      <c r="L280" s="115"/>
      <c r="M280" s="115"/>
      <c r="N280" s="114"/>
      <c r="O280" s="114"/>
      <c r="P280" s="122"/>
      <c r="Q280" s="122"/>
      <c r="R280" s="122"/>
      <c r="S280" s="122"/>
      <c r="T280" s="123"/>
      <c r="U280" s="122"/>
      <c r="V280" s="122"/>
      <c r="W280" s="122"/>
      <c r="X280" s="122"/>
      <c r="Y280" s="123"/>
      <c r="AD280" s="119"/>
      <c r="AE280" s="120"/>
      <c r="AF280" s="115"/>
      <c r="AG280" s="119"/>
      <c r="AH280" s="119"/>
      <c r="AI280" s="119"/>
      <c r="AJ280" s="119"/>
      <c r="AK280" s="119"/>
      <c r="AL280" s="119"/>
    </row>
    <row r="281" spans="7:38" x14ac:dyDescent="0.25">
      <c r="G281" s="113"/>
      <c r="H281" s="114"/>
      <c r="I281" s="114"/>
      <c r="J281" s="115"/>
      <c r="K281" s="115"/>
      <c r="L281" s="115"/>
      <c r="M281" s="115"/>
      <c r="N281" s="114"/>
      <c r="O281" s="114"/>
      <c r="P281" s="122"/>
      <c r="Q281" s="122"/>
      <c r="R281" s="122"/>
      <c r="S281" s="122"/>
      <c r="T281" s="123"/>
      <c r="U281" s="122"/>
      <c r="V281" s="122"/>
      <c r="W281" s="122"/>
      <c r="X281" s="122"/>
      <c r="Y281" s="123"/>
      <c r="AD281" s="119"/>
      <c r="AE281" s="120"/>
      <c r="AF281" s="115"/>
      <c r="AG281" s="119"/>
      <c r="AH281" s="119"/>
      <c r="AI281" s="119"/>
      <c r="AJ281" s="119"/>
      <c r="AK281" s="119"/>
      <c r="AL281" s="119"/>
    </row>
    <row r="282" spans="7:38" x14ac:dyDescent="0.25">
      <c r="G282" s="113"/>
      <c r="H282" s="114"/>
      <c r="I282" s="114"/>
      <c r="J282" s="115"/>
      <c r="K282" s="115"/>
      <c r="L282" s="115"/>
      <c r="M282" s="115"/>
      <c r="N282" s="114"/>
      <c r="O282" s="114"/>
      <c r="P282" s="122"/>
      <c r="Q282" s="122"/>
      <c r="R282" s="122"/>
      <c r="S282" s="122"/>
      <c r="T282" s="123"/>
      <c r="U282" s="122"/>
      <c r="V282" s="122"/>
      <c r="W282" s="122"/>
      <c r="X282" s="122"/>
      <c r="Y282" s="123"/>
      <c r="AD282" s="150"/>
      <c r="AE282" s="140"/>
      <c r="AF282" s="115"/>
      <c r="AG282" s="150"/>
      <c r="AH282" s="150"/>
      <c r="AI282" s="150"/>
      <c r="AJ282" s="150"/>
      <c r="AK282" s="150"/>
      <c r="AL282" s="150"/>
    </row>
    <row r="318" spans="34:38" x14ac:dyDescent="0.25">
      <c r="AH318" s="121"/>
      <c r="AI318" s="121"/>
      <c r="AJ318" s="121"/>
      <c r="AK318" s="121"/>
      <c r="AL318" s="121"/>
    </row>
    <row r="319" spans="34:38" x14ac:dyDescent="0.25">
      <c r="AH319" s="119"/>
      <c r="AI319" s="119"/>
      <c r="AJ319" s="119"/>
      <c r="AK319" s="119"/>
      <c r="AL319" s="119"/>
    </row>
    <row r="320" spans="34:38" x14ac:dyDescent="0.25">
      <c r="AH320" s="119"/>
      <c r="AI320" s="119"/>
      <c r="AJ320" s="119"/>
      <c r="AK320" s="119"/>
      <c r="AL320" s="119"/>
    </row>
    <row r="321" spans="34:38" x14ac:dyDescent="0.25">
      <c r="AH321" s="119"/>
      <c r="AI321" s="119"/>
      <c r="AJ321" s="119"/>
      <c r="AK321" s="119"/>
      <c r="AL321" s="119"/>
    </row>
    <row r="322" spans="34:38" x14ac:dyDescent="0.25">
      <c r="AH322" s="119"/>
      <c r="AI322" s="119"/>
      <c r="AJ322" s="119"/>
      <c r="AK322" s="119"/>
      <c r="AL322" s="119"/>
    </row>
    <row r="323" spans="34:38" x14ac:dyDescent="0.25">
      <c r="AH323" s="119"/>
      <c r="AI323" s="119"/>
      <c r="AJ323" s="119"/>
      <c r="AK323" s="119"/>
      <c r="AL323" s="119"/>
    </row>
    <row r="324" spans="34:38" x14ac:dyDescent="0.25">
      <c r="AH324" s="119"/>
      <c r="AI324" s="119"/>
      <c r="AJ324" s="119"/>
      <c r="AK324" s="119"/>
      <c r="AL324" s="119"/>
    </row>
    <row r="325" spans="34:38" x14ac:dyDescent="0.25">
      <c r="AH325" s="119"/>
      <c r="AI325" s="119"/>
      <c r="AJ325" s="119"/>
      <c r="AK325" s="119"/>
      <c r="AL325" s="119"/>
    </row>
  </sheetData>
  <mergeCells count="60">
    <mergeCell ref="A65:B65"/>
    <mergeCell ref="A66:B66"/>
    <mergeCell ref="A67:B67"/>
    <mergeCell ref="A68:B68"/>
    <mergeCell ref="A58:B58"/>
    <mergeCell ref="A59:B59"/>
    <mergeCell ref="A60:B60"/>
    <mergeCell ref="A61:B61"/>
    <mergeCell ref="A63:B63"/>
    <mergeCell ref="A64:B64"/>
    <mergeCell ref="A52:B52"/>
    <mergeCell ref="A53:B53"/>
    <mergeCell ref="A54:B54"/>
    <mergeCell ref="A55:B55"/>
    <mergeCell ref="A56:B56"/>
    <mergeCell ref="A57:B57"/>
    <mergeCell ref="A45:B45"/>
    <mergeCell ref="A46:B46"/>
    <mergeCell ref="A47:B47"/>
    <mergeCell ref="A48:B48"/>
    <mergeCell ref="A50:B50"/>
    <mergeCell ref="A51:B51"/>
    <mergeCell ref="A38:B38"/>
    <mergeCell ref="A39:B39"/>
    <mergeCell ref="A40:B40"/>
    <mergeCell ref="A41:B41"/>
    <mergeCell ref="A42:B42"/>
    <mergeCell ref="A44:B44"/>
    <mergeCell ref="A32:B32"/>
    <mergeCell ref="A33:B33"/>
    <mergeCell ref="A34:B34"/>
    <mergeCell ref="A35:B35"/>
    <mergeCell ref="A36:B36"/>
    <mergeCell ref="A37:B37"/>
    <mergeCell ref="A6:B6"/>
    <mergeCell ref="A26:B26"/>
    <mergeCell ref="A27:B27"/>
    <mergeCell ref="A28:B28"/>
    <mergeCell ref="A29:B29"/>
    <mergeCell ref="A30:B30"/>
    <mergeCell ref="AG3:AL3"/>
    <mergeCell ref="A4:B4"/>
    <mergeCell ref="A5:B5"/>
    <mergeCell ref="H5:I5"/>
    <mergeCell ref="K5:M5"/>
    <mergeCell ref="P5:T5"/>
    <mergeCell ref="U5:Y5"/>
    <mergeCell ref="AA5:AB5"/>
    <mergeCell ref="AD5:AF5"/>
    <mergeCell ref="AG5:AL5"/>
    <mergeCell ref="G2:N2"/>
    <mergeCell ref="P2:Y2"/>
    <mergeCell ref="AA2:AB2"/>
    <mergeCell ref="AG2:AL2"/>
    <mergeCell ref="A3:B3"/>
    <mergeCell ref="H3:I3"/>
    <mergeCell ref="K3:M3"/>
    <mergeCell ref="P3:T3"/>
    <mergeCell ref="U3:Y3"/>
    <mergeCell ref="AD3:AF3"/>
  </mergeCells>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8815-D69B-40CD-828E-038D132250CC}">
  <sheetPr codeName="Sheet11">
    <tabColor rgb="FF92D050"/>
  </sheetPr>
  <dimension ref="A1:AU56"/>
  <sheetViews>
    <sheetView zoomScale="70" zoomScaleNormal="70" workbookViewId="0"/>
  </sheetViews>
  <sheetFormatPr defaultRowHeight="15" x14ac:dyDescent="0.25"/>
  <cols>
    <col min="1" max="1" width="12.42578125" bestFit="1" customWidth="1"/>
    <col min="2" max="2" width="5.5703125" bestFit="1" customWidth="1"/>
    <col min="3" max="3" width="16.7109375" bestFit="1" customWidth="1"/>
    <col min="4" max="4" width="11.7109375" bestFit="1" customWidth="1"/>
    <col min="5" max="5" width="15.140625" bestFit="1" customWidth="1"/>
    <col min="6" max="6" width="7.140625" bestFit="1" customWidth="1"/>
    <col min="7" max="7" width="8.5703125" bestFit="1" customWidth="1"/>
    <col min="8" max="9" width="7.140625" bestFit="1" customWidth="1"/>
    <col min="10" max="10" width="7.85546875" bestFit="1" customWidth="1"/>
    <col min="11" max="11" width="5.7109375" bestFit="1" customWidth="1"/>
    <col min="12" max="12" width="7.140625" bestFit="1" customWidth="1"/>
    <col min="13" max="13" width="8.5703125" bestFit="1" customWidth="1"/>
    <col min="14" max="15" width="7.140625" bestFit="1" customWidth="1"/>
    <col min="16" max="16" width="7.85546875" bestFit="1" customWidth="1"/>
    <col min="17" max="17" width="5.7109375" bestFit="1" customWidth="1"/>
    <col min="18" max="18" width="7.140625" bestFit="1" customWidth="1"/>
    <col min="19" max="19" width="8.5703125" bestFit="1" customWidth="1"/>
    <col min="20" max="21" width="7.140625" bestFit="1" customWidth="1"/>
    <col min="22" max="22" width="7.85546875" bestFit="1" customWidth="1"/>
    <col min="23" max="23" width="5.7109375" bestFit="1" customWidth="1"/>
    <col min="24" max="24" width="7.140625" bestFit="1" customWidth="1"/>
    <col min="25" max="25" width="8.5703125" bestFit="1" customWidth="1"/>
    <col min="26" max="27" width="7.140625" bestFit="1" customWidth="1"/>
    <col min="28" max="28" width="7.85546875" bestFit="1" customWidth="1"/>
    <col min="29" max="29" width="5.7109375" bestFit="1" customWidth="1"/>
    <col min="30" max="30" width="7.140625" bestFit="1" customWidth="1"/>
    <col min="31" max="31" width="8.5703125" bestFit="1" customWidth="1"/>
    <col min="32" max="33" width="7.140625" bestFit="1" customWidth="1"/>
    <col min="34" max="34" width="7.85546875" bestFit="1" customWidth="1"/>
    <col min="35" max="35" width="5.7109375" bestFit="1" customWidth="1"/>
    <col min="36" max="36" width="7.140625" bestFit="1" customWidth="1"/>
    <col min="37" max="37" width="8.5703125" bestFit="1" customWidth="1"/>
    <col min="38" max="39" width="7.140625" bestFit="1" customWidth="1"/>
    <col min="40" max="40" width="7.85546875" bestFit="1" customWidth="1"/>
    <col min="41" max="41" width="5.7109375" bestFit="1" customWidth="1"/>
  </cols>
  <sheetData>
    <row r="1" spans="1:47" x14ac:dyDescent="0.25">
      <c r="F1" t="s">
        <v>227</v>
      </c>
      <c r="L1" t="s">
        <v>228</v>
      </c>
      <c r="R1" t="s">
        <v>229</v>
      </c>
      <c r="X1" t="s">
        <v>230</v>
      </c>
      <c r="AD1" t="s">
        <v>231</v>
      </c>
      <c r="AJ1" t="s">
        <v>232</v>
      </c>
    </row>
    <row r="2" spans="1:47" x14ac:dyDescent="0.25">
      <c r="A2" t="s">
        <v>233</v>
      </c>
      <c r="B2" t="s">
        <v>36</v>
      </c>
      <c r="C2" t="s">
        <v>234</v>
      </c>
      <c r="D2" t="s">
        <v>235</v>
      </c>
      <c r="E2" t="s">
        <v>236</v>
      </c>
      <c r="F2" t="s">
        <v>21</v>
      </c>
      <c r="G2" s="97" t="s">
        <v>164</v>
      </c>
      <c r="H2" s="97" t="s">
        <v>165</v>
      </c>
      <c r="I2" s="97" t="s">
        <v>166</v>
      </c>
      <c r="J2" s="97" t="s">
        <v>167</v>
      </c>
      <c r="K2" s="98" t="s">
        <v>168</v>
      </c>
      <c r="L2" t="s">
        <v>21</v>
      </c>
      <c r="M2" s="97" t="s">
        <v>164</v>
      </c>
      <c r="N2" s="97" t="s">
        <v>165</v>
      </c>
      <c r="O2" s="97" t="s">
        <v>166</v>
      </c>
      <c r="P2" s="97" t="s">
        <v>167</v>
      </c>
      <c r="Q2" s="98" t="s">
        <v>168</v>
      </c>
      <c r="R2" t="s">
        <v>21</v>
      </c>
      <c r="S2" s="97" t="s">
        <v>164</v>
      </c>
      <c r="T2" s="97" t="s">
        <v>165</v>
      </c>
      <c r="U2" s="97" t="s">
        <v>166</v>
      </c>
      <c r="V2" s="97" t="s">
        <v>167</v>
      </c>
      <c r="W2" s="98" t="s">
        <v>168</v>
      </c>
      <c r="X2" t="s">
        <v>21</v>
      </c>
      <c r="Y2" s="97" t="s">
        <v>164</v>
      </c>
      <c r="Z2" s="97" t="s">
        <v>165</v>
      </c>
      <c r="AA2" s="97" t="s">
        <v>166</v>
      </c>
      <c r="AB2" s="97" t="s">
        <v>167</v>
      </c>
      <c r="AC2" s="98" t="s">
        <v>168</v>
      </c>
      <c r="AD2" t="s">
        <v>21</v>
      </c>
      <c r="AE2" s="97" t="s">
        <v>164</v>
      </c>
      <c r="AF2" s="97" t="s">
        <v>165</v>
      </c>
      <c r="AG2" s="97" t="s">
        <v>166</v>
      </c>
      <c r="AH2" s="97" t="s">
        <v>167</v>
      </c>
      <c r="AI2" s="98" t="s">
        <v>168</v>
      </c>
      <c r="AJ2" t="s">
        <v>21</v>
      </c>
      <c r="AK2" s="97" t="s">
        <v>164</v>
      </c>
      <c r="AL2" s="97" t="s">
        <v>165</v>
      </c>
      <c r="AM2" s="97" t="s">
        <v>166</v>
      </c>
      <c r="AN2" s="97" t="s">
        <v>167</v>
      </c>
      <c r="AO2" s="98" t="s">
        <v>168</v>
      </c>
      <c r="AQ2" s="97"/>
      <c r="AR2" s="97"/>
      <c r="AS2" s="97"/>
      <c r="AT2" s="97"/>
      <c r="AU2" s="98"/>
    </row>
    <row r="3" spans="1:47" x14ac:dyDescent="0.25">
      <c r="A3">
        <v>5</v>
      </c>
      <c r="B3" s="151">
        <v>15</v>
      </c>
      <c r="C3" s="151">
        <v>400</v>
      </c>
      <c r="F3">
        <v>10</v>
      </c>
      <c r="G3" s="151">
        <v>33.367380474167454</v>
      </c>
      <c r="H3" s="151">
        <v>24.210851256623418</v>
      </c>
      <c r="I3" s="151">
        <v>5.3524407225795416</v>
      </c>
      <c r="J3" s="151">
        <v>4.8557728059674156E-2</v>
      </c>
      <c r="K3" s="151">
        <v>3.7555307669048212</v>
      </c>
      <c r="L3">
        <v>20</v>
      </c>
      <c r="M3" s="151">
        <v>135.22900446684054</v>
      </c>
      <c r="N3" s="151">
        <v>103.54956600407753</v>
      </c>
      <c r="O3" s="151">
        <v>20.748294425827986</v>
      </c>
      <c r="P3" s="151">
        <v>0.83117412834784243</v>
      </c>
      <c r="Q3" s="151">
        <v>10.099969908587171</v>
      </c>
      <c r="R3">
        <v>30</v>
      </c>
      <c r="S3" s="151">
        <v>250.21354710118123</v>
      </c>
      <c r="T3" s="151">
        <v>197.4008113652433</v>
      </c>
      <c r="U3" s="151">
        <v>38.568706652473232</v>
      </c>
      <c r="V3" s="151">
        <v>2.9834532998837422</v>
      </c>
      <c r="W3" s="151">
        <v>11.26057578358097</v>
      </c>
      <c r="X3">
        <v>40</v>
      </c>
      <c r="Y3" s="151">
        <v>360.08189356308657</v>
      </c>
      <c r="Z3" s="151">
        <v>286.67796027435497</v>
      </c>
      <c r="AA3" s="151">
        <v>55.936231001716642</v>
      </c>
      <c r="AB3" s="151">
        <v>6.2191733869865375</v>
      </c>
      <c r="AC3" s="151">
        <v>11.248528900028411</v>
      </c>
      <c r="AD3">
        <v>50</v>
      </c>
      <c r="AE3" s="151">
        <v>454.12858073506345</v>
      </c>
      <c r="AF3" s="151">
        <v>362.12045177515188</v>
      </c>
      <c r="AG3" s="151">
        <v>71.519052604210557</v>
      </c>
      <c r="AH3" s="151">
        <v>9.9027487125860514</v>
      </c>
      <c r="AI3" s="151">
        <v>10.586327643114977</v>
      </c>
      <c r="AJ3">
        <v>60</v>
      </c>
      <c r="AK3" s="151">
        <v>528.73817242131634</v>
      </c>
      <c r="AL3" s="151">
        <v>420.90875777544744</v>
      </c>
      <c r="AM3" s="151">
        <v>84.80947117678221</v>
      </c>
      <c r="AN3" s="151">
        <v>13.459817152358777</v>
      </c>
      <c r="AO3" s="151">
        <v>9.5601263167278852</v>
      </c>
    </row>
    <row r="4" spans="1:47" x14ac:dyDescent="0.25">
      <c r="A4">
        <v>5</v>
      </c>
      <c r="B4" s="151">
        <v>20</v>
      </c>
      <c r="C4" s="151">
        <v>400</v>
      </c>
      <c r="F4">
        <v>10</v>
      </c>
      <c r="G4" s="151">
        <v>38.013506404760996</v>
      </c>
      <c r="H4" s="151">
        <v>27.37734893813214</v>
      </c>
      <c r="I4" s="151">
        <v>5.9760958543753038</v>
      </c>
      <c r="J4" s="151">
        <v>5.7702106887491923E-2</v>
      </c>
      <c r="K4" s="151">
        <v>4.6023595053660644</v>
      </c>
      <c r="L4">
        <v>20</v>
      </c>
      <c r="M4" s="151">
        <v>143.26677889916172</v>
      </c>
      <c r="N4" s="151">
        <v>109.81040686353781</v>
      </c>
      <c r="O4" s="151">
        <v>21.959422975404614</v>
      </c>
      <c r="P4" s="151">
        <v>0.83766015533589022</v>
      </c>
      <c r="Q4" s="151">
        <v>10.65928890488342</v>
      </c>
      <c r="R4">
        <v>30</v>
      </c>
      <c r="S4" s="151">
        <v>259.10577389082459</v>
      </c>
      <c r="T4" s="151">
        <v>204.83080661260047</v>
      </c>
      <c r="U4" s="151">
        <v>39.931875036472952</v>
      </c>
      <c r="V4" s="151">
        <v>2.8395018215241601</v>
      </c>
      <c r="W4" s="151">
        <v>11.503590420227013</v>
      </c>
      <c r="X4">
        <v>40</v>
      </c>
      <c r="Y4" s="151">
        <v>364.65151968405462</v>
      </c>
      <c r="Z4" s="151">
        <v>291.21306958521353</v>
      </c>
      <c r="AA4" s="151">
        <v>56.687081882419022</v>
      </c>
      <c r="AB4" s="151">
        <v>5.7171377357550544</v>
      </c>
      <c r="AC4" s="151">
        <v>11.034230480666979</v>
      </c>
      <c r="AD4">
        <v>50</v>
      </c>
      <c r="AE4" s="151">
        <v>450.75402543551769</v>
      </c>
      <c r="AF4" s="151">
        <v>360.84848143805755</v>
      </c>
      <c r="AG4" s="151">
        <v>71.071159612841882</v>
      </c>
      <c r="AH4" s="151">
        <v>8.879763858798805</v>
      </c>
      <c r="AI4" s="151">
        <v>9.9546205258194487</v>
      </c>
      <c r="AJ4">
        <v>60</v>
      </c>
      <c r="AK4" s="151">
        <v>515.868808333723</v>
      </c>
      <c r="AL4" s="151">
        <v>412.57955408969065</v>
      </c>
      <c r="AM4" s="151">
        <v>82.817282127455925</v>
      </c>
      <c r="AN4" s="151">
        <v>11.847957324947926</v>
      </c>
      <c r="AO4" s="151">
        <v>8.6240147916284098</v>
      </c>
    </row>
    <row r="5" spans="1:47" x14ac:dyDescent="0.25">
      <c r="A5">
        <v>5</v>
      </c>
      <c r="B5" s="151">
        <v>25</v>
      </c>
      <c r="C5" s="151">
        <v>400</v>
      </c>
      <c r="F5">
        <v>10</v>
      </c>
      <c r="G5" s="151">
        <v>42.02902721857253</v>
      </c>
      <c r="H5" s="151">
        <v>30.157322139273852</v>
      </c>
      <c r="I5" s="151">
        <v>6.5401633771088274</v>
      </c>
      <c r="J5" s="151">
        <v>6.5258442230843511E-2</v>
      </c>
      <c r="K5" s="151">
        <v>5.2662832599590121</v>
      </c>
      <c r="L5">
        <v>20</v>
      </c>
      <c r="M5" s="151">
        <v>150.41946045231546</v>
      </c>
      <c r="N5" s="151">
        <v>115.3745994806235</v>
      </c>
      <c r="O5" s="151">
        <v>23.024231077207919</v>
      </c>
      <c r="P5" s="151">
        <v>0.84988186025268508</v>
      </c>
      <c r="Q5" s="151">
        <v>11.170748034231353</v>
      </c>
      <c r="R5">
        <v>30</v>
      </c>
      <c r="S5" s="151">
        <v>265.16903946335827</v>
      </c>
      <c r="T5" s="151">
        <v>209.97507199695059</v>
      </c>
      <c r="U5" s="151">
        <v>40.851675316957795</v>
      </c>
      <c r="V5" s="151">
        <v>2.7464440515777548</v>
      </c>
      <c r="W5" s="151">
        <v>11.595848097872164</v>
      </c>
      <c r="X5">
        <v>40</v>
      </c>
      <c r="Y5" s="151">
        <v>364.02218134666191</v>
      </c>
      <c r="Z5" s="151">
        <v>291.44525667676896</v>
      </c>
      <c r="AA5" s="151">
        <v>56.61875049063633</v>
      </c>
      <c r="AB5" s="151">
        <v>5.3512234714615836</v>
      </c>
      <c r="AC5" s="151">
        <v>10.606950707794995</v>
      </c>
      <c r="AD5">
        <v>50</v>
      </c>
      <c r="AE5" s="151">
        <v>440.13980743024024</v>
      </c>
      <c r="AF5" s="151">
        <v>353.48550632215915</v>
      </c>
      <c r="AG5" s="151">
        <v>69.457759020623996</v>
      </c>
      <c r="AH5" s="151">
        <v>8.0965973150280988</v>
      </c>
      <c r="AI5" s="151">
        <v>9.0999447724290263</v>
      </c>
      <c r="AJ5">
        <v>60</v>
      </c>
      <c r="AK5" s="151">
        <v>494.57235890504995</v>
      </c>
      <c r="AL5" s="151">
        <v>397.0448297217776</v>
      </c>
      <c r="AM5" s="151">
        <v>79.435059605277573</v>
      </c>
      <c r="AN5" s="151">
        <v>10.576010395533649</v>
      </c>
      <c r="AO5" s="151">
        <v>7.5164591824610891</v>
      </c>
    </row>
    <row r="6" spans="1:47" x14ac:dyDescent="0.25">
      <c r="A6">
        <v>10</v>
      </c>
      <c r="B6" s="151">
        <v>18</v>
      </c>
      <c r="C6" s="151">
        <v>400</v>
      </c>
      <c r="F6">
        <v>10</v>
      </c>
      <c r="G6" s="151">
        <v>81.395739426079331</v>
      </c>
      <c r="H6" s="151">
        <v>58.486978758807908</v>
      </c>
      <c r="I6" s="151">
        <v>12.683595521742101</v>
      </c>
      <c r="J6" s="151">
        <v>0.13875800910752825</v>
      </c>
      <c r="K6" s="151">
        <v>10.086407136421785</v>
      </c>
      <c r="L6">
        <v>20</v>
      </c>
      <c r="M6" s="151">
        <v>280.41723894437325</v>
      </c>
      <c r="N6" s="151">
        <v>214.39303782565344</v>
      </c>
      <c r="O6" s="151">
        <v>42.890968924036848</v>
      </c>
      <c r="P6" s="151">
        <v>2.2808382014929687</v>
      </c>
      <c r="Q6" s="151">
        <v>20.852393993189988</v>
      </c>
      <c r="R6">
        <v>30</v>
      </c>
      <c r="S6" s="151">
        <v>486.71633966310799</v>
      </c>
      <c r="T6" s="151">
        <v>381.3420694470567</v>
      </c>
      <c r="U6" s="151">
        <v>75.730350641157543</v>
      </c>
      <c r="V6" s="151">
        <v>8.0653561239393721</v>
      </c>
      <c r="W6" s="151">
        <v>21.578563450954345</v>
      </c>
      <c r="X6">
        <v>40</v>
      </c>
      <c r="Y6" s="151">
        <v>661.59852827995076</v>
      </c>
      <c r="Z6" s="151">
        <v>519.10073801173485</v>
      </c>
      <c r="AA6" s="151">
        <v>105.45167725163076</v>
      </c>
      <c r="AB6" s="151">
        <v>16.431352154695528</v>
      </c>
      <c r="AC6" s="151">
        <v>20.614760861889621</v>
      </c>
      <c r="AD6">
        <v>50</v>
      </c>
      <c r="AE6" s="151">
        <v>795.13495976655315</v>
      </c>
      <c r="AF6" s="151">
        <v>621.02203015014004</v>
      </c>
      <c r="AG6" s="151">
        <v>130.25670101961526</v>
      </c>
      <c r="AH6" s="151">
        <v>25.303674086907041</v>
      </c>
      <c r="AI6" s="151">
        <v>18.552554509890804</v>
      </c>
      <c r="AJ6">
        <v>60</v>
      </c>
      <c r="AK6" s="151">
        <v>890.95048454531354</v>
      </c>
      <c r="AL6" s="151">
        <v>691.82604185769389</v>
      </c>
      <c r="AM6" s="151">
        <v>150.07931500408264</v>
      </c>
      <c r="AN6" s="151">
        <v>33.046764132423746</v>
      </c>
      <c r="AO6" s="151">
        <v>15.998363551113265</v>
      </c>
    </row>
    <row r="7" spans="1:47" x14ac:dyDescent="0.25">
      <c r="A7">
        <v>10</v>
      </c>
      <c r="B7" s="151">
        <v>23</v>
      </c>
      <c r="C7" s="151">
        <v>400</v>
      </c>
      <c r="F7">
        <v>10</v>
      </c>
      <c r="G7" s="151">
        <v>90.42886662196247</v>
      </c>
      <c r="H7" s="151">
        <v>64.689233569972373</v>
      </c>
      <c r="I7" s="151">
        <v>13.93119258471776</v>
      </c>
      <c r="J7" s="151">
        <v>0.15681978615556044</v>
      </c>
      <c r="K7" s="151">
        <v>11.651620681116782</v>
      </c>
      <c r="L7">
        <v>20</v>
      </c>
      <c r="M7" s="151">
        <v>296.38612851227361</v>
      </c>
      <c r="N7" s="151">
        <v>226.84707405305107</v>
      </c>
      <c r="O7" s="151">
        <v>45.280490914008332</v>
      </c>
      <c r="P7" s="151">
        <v>2.2408729394256093</v>
      </c>
      <c r="Q7" s="151">
        <v>22.017690605788598</v>
      </c>
      <c r="R7">
        <v>30</v>
      </c>
      <c r="S7" s="151">
        <v>499.03925888231953</v>
      </c>
      <c r="T7" s="151">
        <v>391.99938417996373</v>
      </c>
      <c r="U7" s="151">
        <v>77.768178626208893</v>
      </c>
      <c r="V7" s="151">
        <v>7.5048886612104901</v>
      </c>
      <c r="W7" s="151">
        <v>21.766807414936384</v>
      </c>
      <c r="X7">
        <v>40</v>
      </c>
      <c r="Y7" s="151">
        <v>662.30327082815973</v>
      </c>
      <c r="Z7" s="151">
        <v>521.74095117988236</v>
      </c>
      <c r="AA7" s="151">
        <v>105.8522562609532</v>
      </c>
      <c r="AB7" s="151">
        <v>14.823728821658849</v>
      </c>
      <c r="AC7" s="151">
        <v>19.88633456566534</v>
      </c>
      <c r="AD7">
        <v>50</v>
      </c>
      <c r="AE7" s="151">
        <v>780.89957902217589</v>
      </c>
      <c r="AF7" s="151">
        <v>613.09442646325454</v>
      </c>
      <c r="AG7" s="151">
        <v>128.26453589343907</v>
      </c>
      <c r="AH7" s="151">
        <v>22.395756623526587</v>
      </c>
      <c r="AI7" s="151">
        <v>17.144860041955695</v>
      </c>
      <c r="AJ7">
        <v>60</v>
      </c>
      <c r="AK7" s="151">
        <v>861.40498829658111</v>
      </c>
      <c r="AL7" s="151">
        <v>672.93845405102002</v>
      </c>
      <c r="AM7" s="151">
        <v>145.38506154186959</v>
      </c>
      <c r="AN7" s="151">
        <v>28.890464951501304</v>
      </c>
      <c r="AO7" s="151">
        <v>14.19100775219025</v>
      </c>
    </row>
    <row r="8" spans="1:47" x14ac:dyDescent="0.25">
      <c r="A8">
        <v>10</v>
      </c>
      <c r="B8" s="151">
        <v>28</v>
      </c>
      <c r="C8" s="151">
        <v>400</v>
      </c>
      <c r="F8">
        <v>10</v>
      </c>
      <c r="G8" s="151">
        <v>99.686935479850248</v>
      </c>
      <c r="H8" s="151">
        <v>71.077419713210261</v>
      </c>
      <c r="I8" s="151">
        <v>15.240208381993929</v>
      </c>
      <c r="J8" s="151">
        <v>0.17338187550192158</v>
      </c>
      <c r="K8" s="151">
        <v>13.195925509144134</v>
      </c>
      <c r="L8">
        <v>20</v>
      </c>
      <c r="M8" s="151">
        <v>312.52616799975283</v>
      </c>
      <c r="N8" s="151">
        <v>239.37724554843976</v>
      </c>
      <c r="O8" s="151">
        <v>47.681848372668668</v>
      </c>
      <c r="P8" s="151">
        <v>2.240998212690597</v>
      </c>
      <c r="Q8" s="151">
        <v>23.22607586595381</v>
      </c>
      <c r="R8">
        <v>30</v>
      </c>
      <c r="S8" s="151">
        <v>508.191330900612</v>
      </c>
      <c r="T8" s="151">
        <v>400.00358455579959</v>
      </c>
      <c r="U8" s="151">
        <v>79.304046453566585</v>
      </c>
      <c r="V8" s="151">
        <v>7.1419102093595361</v>
      </c>
      <c r="W8" s="151">
        <v>21.74178968188637</v>
      </c>
      <c r="X8">
        <v>40</v>
      </c>
      <c r="Y8" s="151">
        <v>655.6223714272711</v>
      </c>
      <c r="Z8" s="151">
        <v>518.14929993722001</v>
      </c>
      <c r="AA8" s="151">
        <v>105.06758246304986</v>
      </c>
      <c r="AB8" s="151">
        <v>13.634921272985178</v>
      </c>
      <c r="AC8" s="151">
        <v>18.770567754016167</v>
      </c>
      <c r="AD8">
        <v>50</v>
      </c>
      <c r="AE8" s="151">
        <v>756.05237360898457</v>
      </c>
      <c r="AF8" s="151">
        <v>596.04497855565444</v>
      </c>
      <c r="AG8" s="151">
        <v>124.53686393669247</v>
      </c>
      <c r="AH8" s="151">
        <v>20.106325939108039</v>
      </c>
      <c r="AI8" s="151">
        <v>15.364205177529659</v>
      </c>
      <c r="AJ8">
        <v>60</v>
      </c>
      <c r="AK8" s="151">
        <v>819.67654512689478</v>
      </c>
      <c r="AL8" s="151">
        <v>643.37380692056661</v>
      </c>
      <c r="AM8" s="151">
        <v>138.67131153652932</v>
      </c>
      <c r="AN8" s="151">
        <v>25.487630804798204</v>
      </c>
      <c r="AO8" s="151">
        <v>12.14379586500068</v>
      </c>
    </row>
    <row r="9" spans="1:47" x14ac:dyDescent="0.25">
      <c r="A9">
        <v>15</v>
      </c>
      <c r="B9" s="151">
        <v>22</v>
      </c>
      <c r="C9" s="151">
        <v>400</v>
      </c>
      <c r="F9">
        <v>10</v>
      </c>
      <c r="G9" s="151">
        <v>140.41334500178004</v>
      </c>
      <c r="H9" s="151">
        <v>100.1801097691566</v>
      </c>
      <c r="I9" s="151">
        <v>21.466574289776283</v>
      </c>
      <c r="J9" s="151">
        <v>0.27188770427647219</v>
      </c>
      <c r="K9" s="151">
        <v>18.494773238570694</v>
      </c>
      <c r="L9">
        <v>20</v>
      </c>
      <c r="M9" s="151">
        <v>434.70409033211598</v>
      </c>
      <c r="N9" s="151">
        <v>331.48309197599474</v>
      </c>
      <c r="O9" s="151">
        <v>66.637300572590277</v>
      </c>
      <c r="P9" s="151">
        <v>4.1850392956269395</v>
      </c>
      <c r="Q9" s="151">
        <v>32.398658487904036</v>
      </c>
      <c r="R9">
        <v>30</v>
      </c>
      <c r="S9" s="151">
        <v>711.58059030598463</v>
      </c>
      <c r="T9" s="151">
        <v>553.03978843096888</v>
      </c>
      <c r="U9" s="151">
        <v>112.55353978572323</v>
      </c>
      <c r="V9" s="151">
        <v>14.347824444629127</v>
      </c>
      <c r="W9" s="151">
        <v>31.639437644663388</v>
      </c>
      <c r="X9">
        <v>40</v>
      </c>
      <c r="Y9" s="151">
        <v>928.85701668489901</v>
      </c>
      <c r="Z9" s="151">
        <v>720.36409494361988</v>
      </c>
      <c r="AA9" s="151">
        <v>151.53440840493013</v>
      </c>
      <c r="AB9" s="151">
        <v>28.251715794582875</v>
      </c>
      <c r="AC9" s="151">
        <v>28.706797541766147</v>
      </c>
      <c r="AD9">
        <v>50</v>
      </c>
      <c r="AE9" s="151">
        <v>1082.5060049057447</v>
      </c>
      <c r="AF9" s="151">
        <v>833.89511624968964</v>
      </c>
      <c r="AG9" s="151">
        <v>182.12008576291933</v>
      </c>
      <c r="AH9" s="151">
        <v>41.940671435652867</v>
      </c>
      <c r="AI9" s="151">
        <v>24.550131457482912</v>
      </c>
      <c r="AJ9">
        <v>60</v>
      </c>
      <c r="AK9" s="151">
        <v>1181.4628582589432</v>
      </c>
      <c r="AL9" s="151">
        <v>903.58596716491036</v>
      </c>
      <c r="AM9" s="151">
        <v>204.9819272206492</v>
      </c>
      <c r="AN9" s="151">
        <v>52.775422378549472</v>
      </c>
      <c r="AO9" s="151">
        <v>20.119541494834316</v>
      </c>
    </row>
    <row r="10" spans="1:47" x14ac:dyDescent="0.25">
      <c r="A10">
        <v>15</v>
      </c>
      <c r="B10" s="151">
        <v>27</v>
      </c>
      <c r="C10" s="151">
        <v>400</v>
      </c>
      <c r="F10">
        <v>10</v>
      </c>
      <c r="G10" s="151">
        <v>154.9198470081476</v>
      </c>
      <c r="H10" s="151">
        <v>110.21290821057748</v>
      </c>
      <c r="I10" s="151">
        <v>23.515550485971222</v>
      </c>
      <c r="J10" s="151">
        <v>0.29853291671315668</v>
      </c>
      <c r="K10" s="151">
        <v>20.892855394885729</v>
      </c>
      <c r="L10">
        <v>20</v>
      </c>
      <c r="M10" s="151">
        <v>457.62873718757311</v>
      </c>
      <c r="N10" s="151">
        <v>349.24410246305064</v>
      </c>
      <c r="O10" s="151">
        <v>70.131420749323851</v>
      </c>
      <c r="P10" s="151">
        <v>4.0997738268775015</v>
      </c>
      <c r="Q10" s="151">
        <v>34.153440148321138</v>
      </c>
      <c r="R10">
        <v>30</v>
      </c>
      <c r="S10" s="151">
        <v>724.05604210765057</v>
      </c>
      <c r="T10" s="151">
        <v>564.25173442865639</v>
      </c>
      <c r="U10" s="151">
        <v>114.84224556987068</v>
      </c>
      <c r="V10" s="151">
        <v>13.366951294681602</v>
      </c>
      <c r="W10" s="151">
        <v>31.595110814441849</v>
      </c>
      <c r="X10">
        <v>40</v>
      </c>
      <c r="Y10" s="151">
        <v>921.18969967104761</v>
      </c>
      <c r="Z10" s="151">
        <v>717.55675476975159</v>
      </c>
      <c r="AA10" s="151">
        <v>150.83256439056913</v>
      </c>
      <c r="AB10" s="151">
        <v>25.582092698293373</v>
      </c>
      <c r="AC10" s="151">
        <v>27.218287812433413</v>
      </c>
      <c r="AD10">
        <v>50</v>
      </c>
      <c r="AE10" s="151">
        <v>1052.1669356721216</v>
      </c>
      <c r="AF10" s="151">
        <v>815.00495166547898</v>
      </c>
      <c r="AG10" s="151">
        <v>177.65290477337564</v>
      </c>
      <c r="AH10" s="151">
        <v>37.319377225485809</v>
      </c>
      <c r="AI10" s="151">
        <v>22.189702007781285</v>
      </c>
      <c r="AJ10">
        <v>60</v>
      </c>
      <c r="AK10" s="151">
        <v>1130.5122082141163</v>
      </c>
      <c r="AL10" s="151">
        <v>869.92736779175323</v>
      </c>
      <c r="AM10" s="151">
        <v>196.71898245377417</v>
      </c>
      <c r="AN10" s="151">
        <v>46.445823353782352</v>
      </c>
      <c r="AO10" s="151">
        <v>17.420034614806596</v>
      </c>
    </row>
    <row r="11" spans="1:47" x14ac:dyDescent="0.25">
      <c r="A11">
        <v>15</v>
      </c>
      <c r="B11" s="151">
        <v>32</v>
      </c>
      <c r="C11" s="151">
        <v>400</v>
      </c>
      <c r="F11">
        <v>10</v>
      </c>
      <c r="G11" s="151">
        <v>172.72431416201493</v>
      </c>
      <c r="H11" s="151">
        <v>122.59017688619576</v>
      </c>
      <c r="I11" s="151">
        <v>26.044891945953356</v>
      </c>
      <c r="J11" s="151">
        <v>0.33122896623548581</v>
      </c>
      <c r="K11" s="151">
        <v>23.758016363630311</v>
      </c>
      <c r="L11">
        <v>20</v>
      </c>
      <c r="M11" s="151">
        <v>483.7757097093243</v>
      </c>
      <c r="N11" s="151">
        <v>369.3477356357414</v>
      </c>
      <c r="O11" s="151">
        <v>74.108081568077438</v>
      </c>
      <c r="P11" s="151">
        <v>4.1195065281248811</v>
      </c>
      <c r="Q11" s="151">
        <v>36.200385977380598</v>
      </c>
      <c r="R11">
        <v>30</v>
      </c>
      <c r="S11" s="151">
        <v>733.4656474516504</v>
      </c>
      <c r="T11" s="151">
        <v>572.83697994040381</v>
      </c>
      <c r="U11" s="151">
        <v>116.7034922306178</v>
      </c>
      <c r="V11" s="151">
        <v>12.729134670143857</v>
      </c>
      <c r="W11" s="151">
        <v>31.196040610484879</v>
      </c>
      <c r="X11">
        <v>40</v>
      </c>
      <c r="Y11" s="151">
        <v>904.14239885309485</v>
      </c>
      <c r="Z11" s="151">
        <v>706.77478322997604</v>
      </c>
      <c r="AA11" s="151">
        <v>148.71079391686683</v>
      </c>
      <c r="AB11" s="151">
        <v>23.514524660663373</v>
      </c>
      <c r="AC11" s="151">
        <v>25.142297045588645</v>
      </c>
      <c r="AD11">
        <v>50</v>
      </c>
      <c r="AE11" s="151">
        <v>1008.9326128718727</v>
      </c>
      <c r="AF11" s="151">
        <v>784.90632773033281</v>
      </c>
      <c r="AG11" s="151">
        <v>171.16735778937482</v>
      </c>
      <c r="AH11" s="151">
        <v>33.487858010434984</v>
      </c>
      <c r="AI11" s="151">
        <v>19.371069341730209</v>
      </c>
      <c r="AJ11">
        <v>60</v>
      </c>
      <c r="AK11" s="151">
        <v>1066.2681750136671</v>
      </c>
      <c r="AL11" s="151">
        <v>824.3823302972944</v>
      </c>
      <c r="AM11" s="151">
        <v>186.33698701360561</v>
      </c>
      <c r="AN11" s="151">
        <v>41.007127214923841</v>
      </c>
      <c r="AO11" s="151">
        <v>14.541730487843404</v>
      </c>
    </row>
    <row r="12" spans="1:47" x14ac:dyDescent="0.25">
      <c r="A12">
        <v>20</v>
      </c>
      <c r="B12" s="151">
        <v>24</v>
      </c>
      <c r="C12" s="151">
        <v>400</v>
      </c>
      <c r="F12">
        <v>10</v>
      </c>
      <c r="G12" s="151">
        <v>200.72404545878436</v>
      </c>
      <c r="H12" s="151">
        <v>142.6667943543639</v>
      </c>
      <c r="I12" s="151">
        <v>30.351879242870606</v>
      </c>
      <c r="J12" s="151">
        <v>0.43160065930783087</v>
      </c>
      <c r="K12" s="151">
        <v>27.273771202242024</v>
      </c>
      <c r="L12">
        <v>20</v>
      </c>
      <c r="M12" s="151">
        <v>583.03799305609778</v>
      </c>
      <c r="N12" s="151">
        <v>442.68628152736517</v>
      </c>
      <c r="O12" s="151">
        <v>89.9125030104111</v>
      </c>
      <c r="P12" s="151">
        <v>6.5728310524272517</v>
      </c>
      <c r="Q12" s="151">
        <v>43.866377465894246</v>
      </c>
      <c r="R12">
        <v>30</v>
      </c>
      <c r="S12" s="151">
        <v>922.82385721322726</v>
      </c>
      <c r="T12" s="151">
        <v>711.46063296096418</v>
      </c>
      <c r="U12" s="151">
        <v>147.85013909864534</v>
      </c>
      <c r="V12" s="151">
        <v>22.192471418590337</v>
      </c>
      <c r="W12" s="151">
        <v>41.320613735027457</v>
      </c>
      <c r="X12">
        <v>40</v>
      </c>
      <c r="Y12" s="151">
        <v>1177.7876870054138</v>
      </c>
      <c r="Z12" s="151">
        <v>903.85101712754772</v>
      </c>
      <c r="AA12" s="151">
        <v>195.07282134968943</v>
      </c>
      <c r="AB12" s="151">
        <v>42.619000742805198</v>
      </c>
      <c r="AC12" s="151">
        <v>36.244847785371434</v>
      </c>
      <c r="AD12">
        <v>50</v>
      </c>
      <c r="AE12" s="151">
        <v>1346.3213518796174</v>
      </c>
      <c r="AF12" s="151">
        <v>1024.4070697897662</v>
      </c>
      <c r="AG12" s="151">
        <v>230.47976752007949</v>
      </c>
      <c r="AH12" s="151">
        <v>61.462241618712739</v>
      </c>
      <c r="AI12" s="151">
        <v>29.972272951059047</v>
      </c>
      <c r="AJ12">
        <v>60</v>
      </c>
      <c r="AK12" s="151">
        <v>1443.7727247178955</v>
      </c>
      <c r="AL12" s="151">
        <v>1089.316964375741</v>
      </c>
      <c r="AM12" s="151">
        <v>255.63738592350279</v>
      </c>
      <c r="AN12" s="151">
        <v>75.065253165885949</v>
      </c>
      <c r="AO12" s="151">
        <v>23.753121252765755</v>
      </c>
    </row>
    <row r="13" spans="1:47" x14ac:dyDescent="0.25">
      <c r="A13">
        <v>20</v>
      </c>
      <c r="B13" s="151">
        <v>29</v>
      </c>
      <c r="C13" s="151">
        <v>400</v>
      </c>
      <c r="F13">
        <v>10</v>
      </c>
      <c r="G13" s="151">
        <v>222.280483799834</v>
      </c>
      <c r="H13" s="151">
        <v>157.62154262150787</v>
      </c>
      <c r="I13" s="151">
        <v>33.413503532478188</v>
      </c>
      <c r="J13" s="151">
        <v>0.47059402914875292</v>
      </c>
      <c r="K13" s="151">
        <v>30.774843616699219</v>
      </c>
      <c r="L13">
        <v>20</v>
      </c>
      <c r="M13" s="151">
        <v>613.12153439130486</v>
      </c>
      <c r="N13" s="151">
        <v>465.8370761613885</v>
      </c>
      <c r="O13" s="151">
        <v>94.617330549842379</v>
      </c>
      <c r="P13" s="151">
        <v>6.4199291589573511</v>
      </c>
      <c r="Q13" s="151">
        <v>46.247198521116616</v>
      </c>
      <c r="R13">
        <v>30</v>
      </c>
      <c r="S13" s="151">
        <v>936.66645740758599</v>
      </c>
      <c r="T13" s="151">
        <v>724.36579286023016</v>
      </c>
      <c r="U13" s="151">
        <v>150.58109281830562</v>
      </c>
      <c r="V13" s="151">
        <v>20.65606835982188</v>
      </c>
      <c r="W13" s="151">
        <v>41.0635033692283</v>
      </c>
      <c r="X13">
        <v>40</v>
      </c>
      <c r="Y13" s="151">
        <v>1163.9561244343492</v>
      </c>
      <c r="Z13" s="151">
        <v>897.62605514126687</v>
      </c>
      <c r="AA13" s="151">
        <v>193.62538625402877</v>
      </c>
      <c r="AB13" s="151">
        <v>38.639854927123039</v>
      </c>
      <c r="AC13" s="151">
        <v>34.064828111930566</v>
      </c>
      <c r="AD13">
        <v>50</v>
      </c>
      <c r="AE13" s="151">
        <v>1303.7897152420494</v>
      </c>
      <c r="AF13" s="151">
        <v>997.94715511888933</v>
      </c>
      <c r="AG13" s="151">
        <v>224.16985877071389</v>
      </c>
      <c r="AH13" s="151">
        <v>54.868633436047539</v>
      </c>
      <c r="AI13" s="151">
        <v>26.804067916398672</v>
      </c>
      <c r="AJ13">
        <v>60</v>
      </c>
      <c r="AK13" s="151">
        <v>1377.2887693309319</v>
      </c>
      <c r="AL13" s="151">
        <v>1045.7763548060989</v>
      </c>
      <c r="AM13" s="151">
        <v>244.75348262980327</v>
      </c>
      <c r="AN13" s="151">
        <v>66.403362883147892</v>
      </c>
      <c r="AO13" s="151">
        <v>20.355569011881929</v>
      </c>
    </row>
    <row r="14" spans="1:47" x14ac:dyDescent="0.25">
      <c r="A14">
        <v>20</v>
      </c>
      <c r="B14" s="151">
        <v>34</v>
      </c>
      <c r="C14" s="151">
        <v>400</v>
      </c>
      <c r="F14">
        <v>10</v>
      </c>
      <c r="G14" s="151">
        <v>250.96633856421195</v>
      </c>
      <c r="H14" s="151">
        <v>177.55631016466828</v>
      </c>
      <c r="I14" s="151">
        <v>37.484351925670929</v>
      </c>
      <c r="J14" s="151">
        <v>0.52537801149675856</v>
      </c>
      <c r="K14" s="151">
        <v>35.400298462376</v>
      </c>
      <c r="L14">
        <v>20</v>
      </c>
      <c r="M14" s="151">
        <v>649.47409999114893</v>
      </c>
      <c r="N14" s="151">
        <v>493.53089086864122</v>
      </c>
      <c r="O14" s="151">
        <v>100.29765441013578</v>
      </c>
      <c r="P14" s="151">
        <v>6.4629090149237465</v>
      </c>
      <c r="Q14" s="151">
        <v>49.182645697448194</v>
      </c>
      <c r="R14">
        <v>30</v>
      </c>
      <c r="S14" s="151">
        <v>946.91328404185845</v>
      </c>
      <c r="T14" s="151">
        <v>734.10525738459171</v>
      </c>
      <c r="U14" s="151">
        <v>152.88997556499427</v>
      </c>
      <c r="V14" s="151">
        <v>19.653987905239738</v>
      </c>
      <c r="W14" s="151">
        <v>40.264063187032797</v>
      </c>
      <c r="X14">
        <v>40</v>
      </c>
      <c r="Y14" s="151">
        <v>1137.7524182537711</v>
      </c>
      <c r="Z14" s="151">
        <v>880.82904900148219</v>
      </c>
      <c r="AA14" s="151">
        <v>190.39126135354323</v>
      </c>
      <c r="AB14" s="151">
        <v>35.479780440514283</v>
      </c>
      <c r="AC14" s="151">
        <v>31.052327458231431</v>
      </c>
      <c r="AD14">
        <v>50</v>
      </c>
      <c r="AE14" s="151">
        <v>1244.8858374594186</v>
      </c>
      <c r="AF14" s="151">
        <v>957.21111004475142</v>
      </c>
      <c r="AG14" s="151">
        <v>215.38480708020188</v>
      </c>
      <c r="AH14" s="151">
        <v>49.231723439685929</v>
      </c>
      <c r="AI14" s="151">
        <v>23.058196894779282</v>
      </c>
      <c r="AJ14">
        <v>60</v>
      </c>
      <c r="AK14" s="151">
        <v>1294.910044172773</v>
      </c>
      <c r="AL14" s="151">
        <v>987.96637745842202</v>
      </c>
      <c r="AM14" s="151">
        <v>231.42009154539983</v>
      </c>
      <c r="AN14" s="151">
        <v>58.722684934326942</v>
      </c>
      <c r="AO14" s="151">
        <v>16.800890234624305</v>
      </c>
    </row>
    <row r="15" spans="1:47" x14ac:dyDescent="0.25">
      <c r="A15">
        <v>25</v>
      </c>
      <c r="B15" s="151">
        <v>25</v>
      </c>
      <c r="C15" s="151">
        <v>400</v>
      </c>
      <c r="F15">
        <v>10</v>
      </c>
      <c r="G15" s="151">
        <v>260.62681026961025</v>
      </c>
      <c r="H15" s="151">
        <v>184.70898134334465</v>
      </c>
      <c r="I15" s="151">
        <v>39.13483096165433</v>
      </c>
      <c r="J15" s="151">
        <v>0.61635241968807353</v>
      </c>
      <c r="K15" s="151">
        <v>36.16664554492322</v>
      </c>
      <c r="L15">
        <v>20</v>
      </c>
      <c r="M15" s="151">
        <v>726.12454808426889</v>
      </c>
      <c r="N15" s="151">
        <v>548.77835131737993</v>
      </c>
      <c r="O15" s="151">
        <v>112.66988832054697</v>
      </c>
      <c r="P15" s="151">
        <v>9.4714345841194092</v>
      </c>
      <c r="Q15" s="151">
        <v>55.204873862222655</v>
      </c>
      <c r="R15">
        <v>30</v>
      </c>
      <c r="S15" s="151">
        <v>1126.580441768635</v>
      </c>
      <c r="T15" s="151">
        <v>862.07323164277329</v>
      </c>
      <c r="U15" s="151">
        <v>182.11198480704022</v>
      </c>
      <c r="V15" s="151">
        <v>31.632895055750087</v>
      </c>
      <c r="W15" s="151">
        <v>50.762330263071412</v>
      </c>
      <c r="X15">
        <v>40</v>
      </c>
      <c r="Y15" s="151">
        <v>1416.054446081203</v>
      </c>
      <c r="Z15" s="151">
        <v>1076.1046725210438</v>
      </c>
      <c r="AA15" s="151">
        <v>236.99707291989029</v>
      </c>
      <c r="AB15" s="151">
        <v>59.45044025679239</v>
      </c>
      <c r="AC15" s="151">
        <v>43.502260383476631</v>
      </c>
      <c r="AD15">
        <v>50</v>
      </c>
      <c r="AE15" s="151">
        <v>1595.7824875236329</v>
      </c>
      <c r="AF15" s="151">
        <v>1200.3690845999581</v>
      </c>
      <c r="AG15" s="151">
        <v>276.69752210693059</v>
      </c>
      <c r="AH15" s="151">
        <v>83.588855978322712</v>
      </c>
      <c r="AI15" s="151">
        <v>35.127024838421477</v>
      </c>
      <c r="AJ15">
        <v>60</v>
      </c>
      <c r="AK15" s="151">
        <v>1688.6229722785788</v>
      </c>
      <c r="AL15" s="151">
        <v>1258.1988826860713</v>
      </c>
      <c r="AM15" s="151">
        <v>303.77495980421611</v>
      </c>
      <c r="AN15" s="151">
        <v>99.475490124628934</v>
      </c>
      <c r="AO15" s="151">
        <v>27.173639663662357</v>
      </c>
    </row>
    <row r="16" spans="1:47" x14ac:dyDescent="0.25">
      <c r="A16">
        <v>25</v>
      </c>
      <c r="B16" s="151">
        <v>30</v>
      </c>
      <c r="C16" s="151">
        <v>400</v>
      </c>
      <c r="D16" s="151"/>
      <c r="F16">
        <v>10</v>
      </c>
      <c r="G16" s="151">
        <v>289.61499005320877</v>
      </c>
      <c r="H16" s="151">
        <v>204.82686025278804</v>
      </c>
      <c r="I16" s="151">
        <v>43.234067103920147</v>
      </c>
      <c r="J16" s="151">
        <v>0.66955396594027938</v>
      </c>
      <c r="K16" s="151">
        <v>40.884508730560299</v>
      </c>
      <c r="L16">
        <v>20</v>
      </c>
      <c r="M16" s="151">
        <v>763.46307340049214</v>
      </c>
      <c r="N16" s="151">
        <v>577.42987588038682</v>
      </c>
      <c r="O16" s="151">
        <v>118.60638765620095</v>
      </c>
      <c r="P16" s="151">
        <v>9.2137217358658461</v>
      </c>
      <c r="Q16" s="151">
        <v>58.213088128038528</v>
      </c>
      <c r="R16">
        <v>30</v>
      </c>
      <c r="S16" s="151">
        <v>1142.5684932283345</v>
      </c>
      <c r="T16" s="151">
        <v>877.44301580339345</v>
      </c>
      <c r="U16" s="151">
        <v>185.40377491368616</v>
      </c>
      <c r="V16" s="151">
        <v>29.395503591531735</v>
      </c>
      <c r="W16" s="151">
        <v>50.326198919723154</v>
      </c>
      <c r="X16">
        <v>40</v>
      </c>
      <c r="Y16" s="151">
        <v>1397.957818542576</v>
      </c>
      <c r="Z16" s="151">
        <v>1068.1831190065047</v>
      </c>
      <c r="AA16" s="151">
        <v>235.10263030813968</v>
      </c>
      <c r="AB16" s="151">
        <v>53.953342972343847</v>
      </c>
      <c r="AC16" s="151">
        <v>40.718726255587796</v>
      </c>
      <c r="AD16">
        <v>50</v>
      </c>
      <c r="AE16" s="151">
        <v>1544.3452975002231</v>
      </c>
      <c r="AF16" s="151">
        <v>1169.1331399293315</v>
      </c>
      <c r="AG16" s="151">
        <v>269.05905752202494</v>
      </c>
      <c r="AH16" s="151">
        <v>74.874234422613085</v>
      </c>
      <c r="AI16" s="151">
        <v>31.278865626253314</v>
      </c>
      <c r="AJ16">
        <v>60</v>
      </c>
      <c r="AK16" s="151">
        <v>1611.0372251889617</v>
      </c>
      <c r="AL16" s="151">
        <v>1208.3800895184129</v>
      </c>
      <c r="AM16" s="151">
        <v>290.96857128042882</v>
      </c>
      <c r="AN16" s="151">
        <v>88.478395627910729</v>
      </c>
      <c r="AO16" s="151">
        <v>23.210168762209218</v>
      </c>
    </row>
    <row r="17" spans="1:41" x14ac:dyDescent="0.25">
      <c r="A17">
        <v>25</v>
      </c>
      <c r="B17" s="151">
        <v>35</v>
      </c>
      <c r="C17" s="151">
        <v>400</v>
      </c>
      <c r="D17" s="151"/>
      <c r="F17">
        <v>10</v>
      </c>
      <c r="G17" s="151">
        <v>329.91998756460777</v>
      </c>
      <c r="H17" s="151">
        <v>232.79240874077999</v>
      </c>
      <c r="I17" s="151">
        <v>48.931363502351047</v>
      </c>
      <c r="J17" s="151">
        <v>0.7504458031551926</v>
      </c>
      <c r="K17" s="151">
        <v>47.445769518321512</v>
      </c>
      <c r="L17">
        <v>20</v>
      </c>
      <c r="M17" s="151">
        <v>810.08859253824278</v>
      </c>
      <c r="N17" s="151">
        <v>612.77857930079938</v>
      </c>
      <c r="O17" s="151">
        <v>126.01214959744046</v>
      </c>
      <c r="P17" s="151">
        <v>9.2671197766976334</v>
      </c>
      <c r="Q17" s="151">
        <v>62.030743863305382</v>
      </c>
      <c r="R17">
        <v>30</v>
      </c>
      <c r="S17" s="151">
        <v>1154.2171158675224</v>
      </c>
      <c r="T17" s="151">
        <v>888.88878493272148</v>
      </c>
      <c r="U17" s="151">
        <v>188.25335912027433</v>
      </c>
      <c r="V17" s="151">
        <v>27.927061230054488</v>
      </c>
      <c r="W17" s="151">
        <v>49.147910584472065</v>
      </c>
      <c r="X17">
        <v>40</v>
      </c>
      <c r="Y17" s="151">
        <v>1364.1370063018255</v>
      </c>
      <c r="Z17" s="151">
        <v>1046.7739933031808</v>
      </c>
      <c r="AA17" s="151">
        <v>231.00619497311527</v>
      </c>
      <c r="AB17" s="151">
        <v>49.512775297598346</v>
      </c>
      <c r="AC17" s="151">
        <v>36.844042727931118</v>
      </c>
      <c r="AD17">
        <v>50</v>
      </c>
      <c r="AE17" s="151">
        <v>1472.4708734063756</v>
      </c>
      <c r="AF17" s="151">
        <v>1120.1054358103565</v>
      </c>
      <c r="AG17" s="151">
        <v>258.4041465175552</v>
      </c>
      <c r="AH17" s="151">
        <v>67.249904773181655</v>
      </c>
      <c r="AI17" s="151">
        <v>26.711386305282318</v>
      </c>
      <c r="AJ17">
        <v>60</v>
      </c>
      <c r="AK17" s="151">
        <v>1514.0521325730338</v>
      </c>
      <c r="AL17" s="151">
        <v>1141.2652794252342</v>
      </c>
      <c r="AM17" s="151">
        <v>275.24419413602391</v>
      </c>
      <c r="AN17" s="151">
        <v>78.467039340514916</v>
      </c>
      <c r="AO17" s="151">
        <v>19.075619671260934</v>
      </c>
    </row>
    <row r="18" spans="1:41" x14ac:dyDescent="0.25">
      <c r="A18">
        <v>30</v>
      </c>
      <c r="B18" s="151">
        <v>26</v>
      </c>
      <c r="C18" s="151">
        <v>400</v>
      </c>
      <c r="D18" s="151"/>
      <c r="F18">
        <v>10</v>
      </c>
      <c r="G18" s="151">
        <v>323.06062462144348</v>
      </c>
      <c r="H18" s="151">
        <v>228.37089735516255</v>
      </c>
      <c r="I18" s="151">
        <v>48.279581405108019</v>
      </c>
      <c r="J18" s="151">
        <v>0.83196381406560593</v>
      </c>
      <c r="K18" s="151">
        <v>45.578182047107319</v>
      </c>
      <c r="L18">
        <v>20</v>
      </c>
      <c r="M18" s="151">
        <v>869.92050406713395</v>
      </c>
      <c r="N18" s="151">
        <v>654.63887577953176</v>
      </c>
      <c r="O18" s="151">
        <v>135.68681091556721</v>
      </c>
      <c r="P18" s="151">
        <v>12.84001210380109</v>
      </c>
      <c r="Q18" s="151">
        <v>66.754805268233881</v>
      </c>
      <c r="R18">
        <v>30</v>
      </c>
      <c r="S18" s="151">
        <v>1327.1956419482046</v>
      </c>
      <c r="T18" s="151">
        <v>1008.9311118487178</v>
      </c>
      <c r="U18" s="151">
        <v>215.99148756901701</v>
      </c>
      <c r="V18" s="151">
        <v>42.276428660728193</v>
      </c>
      <c r="W18" s="151">
        <v>59.996613869741473</v>
      </c>
      <c r="X18">
        <v>40</v>
      </c>
      <c r="Y18" s="151">
        <v>1644.7044115764616</v>
      </c>
      <c r="Z18" s="151">
        <v>1239.1682165436489</v>
      </c>
      <c r="AA18" s="151">
        <v>277.53971700759286</v>
      </c>
      <c r="AB18" s="151">
        <v>77.728043591066168</v>
      </c>
      <c r="AC18" s="151">
        <v>50.268434434153512</v>
      </c>
      <c r="AD18">
        <v>50</v>
      </c>
      <c r="AE18" s="151">
        <v>1828.8174056616845</v>
      </c>
      <c r="AF18" s="151">
        <v>1361.9698102359155</v>
      </c>
      <c r="AG18" s="151">
        <v>320.49610692050686</v>
      </c>
      <c r="AH18" s="151">
        <v>106.68806853637336</v>
      </c>
      <c r="AI18" s="151">
        <v>39.663419968888881</v>
      </c>
      <c r="AJ18">
        <v>60</v>
      </c>
      <c r="AK18" s="151">
        <v>1911.5596561666509</v>
      </c>
      <c r="AL18" s="151">
        <v>1408.9650733832154</v>
      </c>
      <c r="AM18" s="151">
        <v>348.62075952985725</v>
      </c>
      <c r="AN18" s="151">
        <v>123.99236362570956</v>
      </c>
      <c r="AO18" s="151">
        <v>29.981459627868691</v>
      </c>
    </row>
    <row r="19" spans="1:41" x14ac:dyDescent="0.25">
      <c r="A19">
        <v>30</v>
      </c>
      <c r="B19" s="151">
        <v>31</v>
      </c>
      <c r="C19" s="151">
        <v>400</v>
      </c>
      <c r="D19" s="151"/>
      <c r="F19">
        <v>10</v>
      </c>
      <c r="G19" s="151">
        <v>360.17619723463292</v>
      </c>
      <c r="H19" s="151">
        <v>254.08133136931369</v>
      </c>
      <c r="I19" s="151">
        <v>53.497821148357204</v>
      </c>
      <c r="J19" s="151">
        <v>0.9024240859967132</v>
      </c>
      <c r="K19" s="151">
        <v>51.694620630965296</v>
      </c>
      <c r="L19">
        <v>20</v>
      </c>
      <c r="M19" s="151">
        <v>915.27895103627361</v>
      </c>
      <c r="N19" s="151">
        <v>689.38720036177835</v>
      </c>
      <c r="O19" s="151">
        <v>142.96754249477388</v>
      </c>
      <c r="P19" s="151">
        <v>12.474658916177505</v>
      </c>
      <c r="Q19" s="151">
        <v>70.449549263543858</v>
      </c>
      <c r="R19">
        <v>30</v>
      </c>
      <c r="S19" s="151">
        <v>1345.3412212205315</v>
      </c>
      <c r="T19" s="151">
        <v>1026.8258110329805</v>
      </c>
      <c r="U19" s="151">
        <v>219.85980206291015</v>
      </c>
      <c r="V19" s="151">
        <v>39.313112383684832</v>
      </c>
      <c r="W19" s="151">
        <v>59.342495740955833</v>
      </c>
      <c r="X19">
        <v>40</v>
      </c>
      <c r="Y19" s="151">
        <v>1622.1159974456011</v>
      </c>
      <c r="Z19" s="151">
        <v>1229.3757836788488</v>
      </c>
      <c r="AA19" s="151">
        <v>275.17626506524783</v>
      </c>
      <c r="AB19" s="151">
        <v>70.717069449478146</v>
      </c>
      <c r="AC19" s="151">
        <v>46.846879252026312</v>
      </c>
      <c r="AD19">
        <v>50</v>
      </c>
      <c r="AE19" s="151">
        <v>1768.5988972327443</v>
      </c>
      <c r="AF19" s="151">
        <v>1325.9376012680591</v>
      </c>
      <c r="AG19" s="151">
        <v>311.55336166523659</v>
      </c>
      <c r="AH19" s="151">
        <v>95.957811602602874</v>
      </c>
      <c r="AI19" s="151">
        <v>35.150122696845735</v>
      </c>
      <c r="AJ19">
        <v>60</v>
      </c>
      <c r="AK19" s="151">
        <v>1823.5840188876311</v>
      </c>
      <c r="AL19" s="151">
        <v>1353.1760279674993</v>
      </c>
      <c r="AM19" s="151">
        <v>334.01020556589577</v>
      </c>
      <c r="AN19" s="151">
        <v>110.8881692503339</v>
      </c>
      <c r="AO19" s="151">
        <v>25.509616103902236</v>
      </c>
    </row>
    <row r="20" spans="1:41" x14ac:dyDescent="0.25">
      <c r="A20">
        <v>30</v>
      </c>
      <c r="B20" s="151">
        <v>36</v>
      </c>
      <c r="C20" s="151">
        <v>400</v>
      </c>
      <c r="D20" s="151"/>
      <c r="F20">
        <v>10</v>
      </c>
      <c r="G20" s="151">
        <v>414.3482511515474</v>
      </c>
      <c r="H20" s="151">
        <v>291.53698587078674</v>
      </c>
      <c r="I20" s="151">
        <v>61.115345434945759</v>
      </c>
      <c r="J20" s="151">
        <v>1.0188359462129635</v>
      </c>
      <c r="K20" s="151">
        <v>60.677083899601918</v>
      </c>
      <c r="L20">
        <v>20</v>
      </c>
      <c r="M20" s="151">
        <v>973.91026960454587</v>
      </c>
      <c r="N20" s="151">
        <v>733.68145587948663</v>
      </c>
      <c r="O20" s="151">
        <v>152.37285283303814</v>
      </c>
      <c r="P20" s="151">
        <v>12.571634328757433</v>
      </c>
      <c r="Q20" s="151">
        <v>75.284326563263704</v>
      </c>
      <c r="R20">
        <v>30</v>
      </c>
      <c r="S20" s="151">
        <v>1358.4140854709708</v>
      </c>
      <c r="T20" s="151">
        <v>1040.0308343292916</v>
      </c>
      <c r="U20" s="151">
        <v>223.30700413847478</v>
      </c>
      <c r="V20" s="151">
        <v>37.378988507401637</v>
      </c>
      <c r="W20" s="151">
        <v>57.697258495802778</v>
      </c>
      <c r="X20">
        <v>40</v>
      </c>
      <c r="Y20" s="151">
        <v>1580.2005700078043</v>
      </c>
      <c r="Z20" s="151">
        <v>1203.001297756198</v>
      </c>
      <c r="AA20" s="151">
        <v>270.20066650401316</v>
      </c>
      <c r="AB20" s="151">
        <v>64.961447970102938</v>
      </c>
      <c r="AC20" s="151">
        <v>42.037157777490286</v>
      </c>
      <c r="AD20">
        <v>50</v>
      </c>
      <c r="AE20" s="151">
        <v>1683.8924586694732</v>
      </c>
      <c r="AF20" s="151">
        <v>1268.6679440890657</v>
      </c>
      <c r="AG20" s="151">
        <v>299.09351271303092</v>
      </c>
      <c r="AH20" s="151">
        <v>86.353109501503781</v>
      </c>
      <c r="AI20" s="151">
        <v>29.777892365872731</v>
      </c>
      <c r="AJ20">
        <v>60</v>
      </c>
      <c r="AK20" s="151">
        <v>1713.1057413235637</v>
      </c>
      <c r="AL20" s="151">
        <v>1277.4651140655601</v>
      </c>
      <c r="AM20" s="151">
        <v>316.10658569729463</v>
      </c>
      <c r="AN20" s="151">
        <v>98.658266285006547</v>
      </c>
      <c r="AO20" s="151">
        <v>20.875775275702509</v>
      </c>
    </row>
    <row r="21" spans="1:41" x14ac:dyDescent="0.25">
      <c r="A21">
        <v>5</v>
      </c>
      <c r="B21" s="151">
        <v>15</v>
      </c>
      <c r="C21" s="151">
        <v>650</v>
      </c>
      <c r="D21" s="151"/>
      <c r="F21">
        <v>10</v>
      </c>
      <c r="G21" s="151">
        <v>53.782784584770148</v>
      </c>
      <c r="H21" s="151">
        <v>39.009027320253338</v>
      </c>
      <c r="I21" s="151">
        <v>8.6086941577865286</v>
      </c>
      <c r="J21" s="151">
        <v>8.3838545534724376E-2</v>
      </c>
      <c r="K21" s="151">
        <v>6.0812245611955582</v>
      </c>
      <c r="L21">
        <v>20</v>
      </c>
      <c r="M21" s="151">
        <v>203.02543483381268</v>
      </c>
      <c r="N21" s="151">
        <v>155.16523891119681</v>
      </c>
      <c r="O21" s="151">
        <v>31.004271214145803</v>
      </c>
      <c r="P21" s="151">
        <v>1.6034987606111712</v>
      </c>
      <c r="Q21" s="151">
        <v>15.252425947858901</v>
      </c>
      <c r="R21">
        <v>30</v>
      </c>
      <c r="S21" s="151">
        <v>353.31190183546306</v>
      </c>
      <c r="T21" s="151">
        <v>277.37918416752052</v>
      </c>
      <c r="U21" s="151">
        <v>54.712330573223447</v>
      </c>
      <c r="V21" s="151">
        <v>5.6755945699080961</v>
      </c>
      <c r="W21" s="151">
        <v>15.544792524810992</v>
      </c>
      <c r="X21">
        <v>40</v>
      </c>
      <c r="Y21" s="151">
        <v>486.48588179431931</v>
      </c>
      <c r="Z21" s="151">
        <v>383.13836671117355</v>
      </c>
      <c r="AA21" s="151">
        <v>76.851145916055927</v>
      </c>
      <c r="AB21" s="151">
        <v>11.493840538134949</v>
      </c>
      <c r="AC21" s="151">
        <v>15.002528628954888</v>
      </c>
      <c r="AD21">
        <v>50</v>
      </c>
      <c r="AE21" s="151">
        <v>593.46531545078653</v>
      </c>
      <c r="AF21" s="151">
        <v>465.67710884102917</v>
      </c>
      <c r="AG21" s="151">
        <v>96.105063807110014</v>
      </c>
      <c r="AH21" s="151">
        <v>17.774150815278173</v>
      </c>
      <c r="AI21" s="151">
        <v>13.908991987369284</v>
      </c>
      <c r="AJ21">
        <v>60</v>
      </c>
      <c r="AK21" s="151">
        <v>674.89276457567928</v>
      </c>
      <c r="AL21" s="151">
        <v>526.78749575630081</v>
      </c>
      <c r="AM21" s="151">
        <v>112.19625491246417</v>
      </c>
      <c r="AN21" s="151">
        <v>23.474795903521098</v>
      </c>
      <c r="AO21" s="151">
        <v>12.434218003393184</v>
      </c>
    </row>
    <row r="22" spans="1:41" x14ac:dyDescent="0.25">
      <c r="A22">
        <v>5</v>
      </c>
      <c r="B22" s="151">
        <v>20</v>
      </c>
      <c r="C22" s="151">
        <v>650</v>
      </c>
      <c r="D22" s="151"/>
      <c r="F22">
        <v>10</v>
      </c>
      <c r="G22" s="151">
        <v>61.355103087016076</v>
      </c>
      <c r="H22" s="151">
        <v>44.172005500716487</v>
      </c>
      <c r="I22" s="151">
        <v>9.630125199331026</v>
      </c>
      <c r="J22" s="151">
        <v>9.9141973748647083E-2</v>
      </c>
      <c r="K22" s="151">
        <v>7.4538304132199098</v>
      </c>
      <c r="L22">
        <v>20</v>
      </c>
      <c r="M22" s="151">
        <v>219.88557283884441</v>
      </c>
      <c r="N22" s="151">
        <v>168.24380473692369</v>
      </c>
      <c r="O22" s="151">
        <v>33.579881349078619</v>
      </c>
      <c r="P22" s="151">
        <v>1.6039759124768886</v>
      </c>
      <c r="Q22" s="151">
        <v>16.457910840365223</v>
      </c>
      <c r="R22">
        <v>30</v>
      </c>
      <c r="S22" s="151">
        <v>374.28273354372135</v>
      </c>
      <c r="T22" s="151">
        <v>294.48124791655977</v>
      </c>
      <c r="U22" s="151">
        <v>58.036244865253011</v>
      </c>
      <c r="V22" s="151">
        <v>5.4490013051524917</v>
      </c>
      <c r="W22" s="151">
        <v>16.316239456756062</v>
      </c>
      <c r="X22">
        <v>40</v>
      </c>
      <c r="Y22" s="151">
        <v>502.43195602729821</v>
      </c>
      <c r="Z22" s="151">
        <v>397.06299863263058</v>
      </c>
      <c r="AA22" s="151">
        <v>79.646162204785213</v>
      </c>
      <c r="AB22" s="151">
        <v>10.7240284516323</v>
      </c>
      <c r="AC22" s="151">
        <v>14.998766738250136</v>
      </c>
      <c r="AD22">
        <v>50</v>
      </c>
      <c r="AE22" s="151">
        <v>600.06926758750694</v>
      </c>
      <c r="AF22" s="151">
        <v>472.99686539796568</v>
      </c>
      <c r="AG22" s="151">
        <v>97.565910475656182</v>
      </c>
      <c r="AH22" s="151">
        <v>16.232800679544084</v>
      </c>
      <c r="AI22" s="151">
        <v>13.273691034341049</v>
      </c>
      <c r="AJ22">
        <v>60</v>
      </c>
      <c r="AK22" s="151">
        <v>670.55015804254742</v>
      </c>
      <c r="AL22" s="151">
        <v>526.20410533479776</v>
      </c>
      <c r="AM22" s="151">
        <v>111.87409365596275</v>
      </c>
      <c r="AN22" s="151">
        <v>21.105746421880202</v>
      </c>
      <c r="AO22" s="151">
        <v>11.366212629906638</v>
      </c>
    </row>
    <row r="23" spans="1:41" x14ac:dyDescent="0.25">
      <c r="A23">
        <v>5</v>
      </c>
      <c r="B23" s="151">
        <v>25</v>
      </c>
      <c r="C23" s="151">
        <v>650</v>
      </c>
      <c r="D23" s="151"/>
      <c r="F23">
        <v>10</v>
      </c>
      <c r="G23" s="151">
        <v>67.912127766206709</v>
      </c>
      <c r="H23" s="151">
        <v>48.714165498069399</v>
      </c>
      <c r="I23" s="151">
        <v>10.555001195200244</v>
      </c>
      <c r="J23" s="151">
        <v>0.11141754319960935</v>
      </c>
      <c r="K23" s="151">
        <v>8.5315435297374531</v>
      </c>
      <c r="L23">
        <v>20</v>
      </c>
      <c r="M23" s="151">
        <v>234.29053503478997</v>
      </c>
      <c r="N23" s="151">
        <v>179.41590691743576</v>
      </c>
      <c r="O23" s="151">
        <v>35.772012923162528</v>
      </c>
      <c r="P23" s="151">
        <v>1.6092308053852447</v>
      </c>
      <c r="Q23" s="151">
        <v>17.493384388806444</v>
      </c>
      <c r="R23">
        <v>30</v>
      </c>
      <c r="S23" s="151">
        <v>390.17109120201587</v>
      </c>
      <c r="T23" s="151">
        <v>307.47081795774415</v>
      </c>
      <c r="U23" s="151">
        <v>60.564662008387387</v>
      </c>
      <c r="V23" s="151">
        <v>5.2858619368248441</v>
      </c>
      <c r="W23" s="151">
        <v>16.849749299059503</v>
      </c>
      <c r="X23">
        <v>40</v>
      </c>
      <c r="Y23" s="151">
        <v>510.07852724539964</v>
      </c>
      <c r="Z23" s="151">
        <v>404.18326248037869</v>
      </c>
      <c r="AA23" s="151">
        <v>81.088818055358445</v>
      </c>
      <c r="AB23" s="151">
        <v>10.137854972866226</v>
      </c>
      <c r="AC23" s="151">
        <v>14.668591736796238</v>
      </c>
      <c r="AD23">
        <v>50</v>
      </c>
      <c r="AE23" s="151">
        <v>595.37308946516293</v>
      </c>
      <c r="AF23" s="151">
        <v>470.95600107072232</v>
      </c>
      <c r="AG23" s="151">
        <v>97.134698673221251</v>
      </c>
      <c r="AH23" s="151">
        <v>15.001927676247275</v>
      </c>
      <c r="AI23" s="151">
        <v>12.280462044972106</v>
      </c>
      <c r="AJ23">
        <v>60</v>
      </c>
      <c r="AK23" s="151">
        <v>652.82070860974045</v>
      </c>
      <c r="AL23" s="151">
        <v>514.4096063091248</v>
      </c>
      <c r="AM23" s="151">
        <v>109.26767231176203</v>
      </c>
      <c r="AN23" s="151">
        <v>19.14269058394332</v>
      </c>
      <c r="AO23" s="151">
        <v>10.000739404910398</v>
      </c>
    </row>
    <row r="24" spans="1:41" x14ac:dyDescent="0.25">
      <c r="A24">
        <v>10</v>
      </c>
      <c r="B24" s="151">
        <v>18</v>
      </c>
      <c r="C24" s="151">
        <v>650</v>
      </c>
      <c r="D24" s="151"/>
      <c r="F24">
        <v>10</v>
      </c>
      <c r="G24" s="151">
        <v>128.41924164660395</v>
      </c>
      <c r="H24" s="151">
        <v>92.120354600272989</v>
      </c>
      <c r="I24" s="151">
        <v>19.824635403435298</v>
      </c>
      <c r="J24" s="151">
        <v>0.25401808660031588</v>
      </c>
      <c r="K24" s="151">
        <v>16.220233556295355</v>
      </c>
      <c r="L24">
        <v>20</v>
      </c>
      <c r="M24" s="151">
        <v>391.1297076173384</v>
      </c>
      <c r="N24" s="151">
        <v>297.62586695207938</v>
      </c>
      <c r="O24" s="151">
        <v>59.931502225259443</v>
      </c>
      <c r="P24" s="151">
        <v>4.3506244312081241</v>
      </c>
      <c r="Q24" s="151">
        <v>29.221714008791434</v>
      </c>
      <c r="R24">
        <v>30</v>
      </c>
      <c r="S24" s="151">
        <v>637.66556668843918</v>
      </c>
      <c r="T24" s="151">
        <v>493.46377654483518</v>
      </c>
      <c r="U24" s="151">
        <v>101.06744139608585</v>
      </c>
      <c r="V24" s="151">
        <v>14.793795246177162</v>
      </c>
      <c r="W24" s="151">
        <v>28.34055350134097</v>
      </c>
      <c r="X24">
        <v>40</v>
      </c>
      <c r="Y24" s="151">
        <v>841.05090167198682</v>
      </c>
      <c r="Z24" s="151">
        <v>647.97489684436152</v>
      </c>
      <c r="AA24" s="151">
        <v>137.50144090413767</v>
      </c>
      <c r="AB24" s="151">
        <v>29.037987445586811</v>
      </c>
      <c r="AC24" s="151">
        <v>26.536576477900869</v>
      </c>
      <c r="AD24">
        <v>50</v>
      </c>
      <c r="AE24" s="151">
        <v>993.1702802298496</v>
      </c>
      <c r="AF24" s="151">
        <v>758.90209795129067</v>
      </c>
      <c r="AG24" s="151">
        <v>167.47571680786254</v>
      </c>
      <c r="AH24" s="151">
        <v>43.148933942474564</v>
      </c>
      <c r="AI24" s="151">
        <v>23.643531528221775</v>
      </c>
      <c r="AJ24">
        <v>60</v>
      </c>
      <c r="AK24" s="151">
        <v>1097.5519751053685</v>
      </c>
      <c r="AL24" s="151">
        <v>831.96375935996355</v>
      </c>
      <c r="AM24" s="151">
        <v>190.98357056521047</v>
      </c>
      <c r="AN24" s="151">
        <v>54.418359629310061</v>
      </c>
      <c r="AO24" s="151">
        <v>20.186285550884481</v>
      </c>
    </row>
    <row r="25" spans="1:41" x14ac:dyDescent="0.25">
      <c r="A25">
        <v>10</v>
      </c>
      <c r="B25" s="151">
        <v>23</v>
      </c>
      <c r="C25" s="151">
        <v>650</v>
      </c>
      <c r="D25" s="151"/>
      <c r="F25">
        <v>10</v>
      </c>
      <c r="G25" s="151">
        <v>143.67230422068349</v>
      </c>
      <c r="H25" s="151">
        <v>102.63604879885138</v>
      </c>
      <c r="I25" s="151">
        <v>21.986720102461817</v>
      </c>
      <c r="J25" s="151">
        <v>0.28441563143157322</v>
      </c>
      <c r="K25" s="151">
        <v>18.765119687938707</v>
      </c>
      <c r="L25">
        <v>20</v>
      </c>
      <c r="M25" s="151">
        <v>420.95575604984327</v>
      </c>
      <c r="N25" s="151">
        <v>320.56982266658628</v>
      </c>
      <c r="O25" s="151">
        <v>64.528661867039816</v>
      </c>
      <c r="P25" s="151">
        <v>4.3069552090361025</v>
      </c>
      <c r="Q25" s="151">
        <v>31.55031630718106</v>
      </c>
      <c r="R25">
        <v>30</v>
      </c>
      <c r="S25" s="151">
        <v>663.49779738892823</v>
      </c>
      <c r="T25" s="151">
        <v>514.96785140569239</v>
      </c>
      <c r="U25" s="151">
        <v>105.57249669595876</v>
      </c>
      <c r="V25" s="151">
        <v>13.952422787390772</v>
      </c>
      <c r="W25" s="151">
        <v>29.005026499886348</v>
      </c>
      <c r="X25">
        <v>40</v>
      </c>
      <c r="Y25" s="151">
        <v>853.64823866185338</v>
      </c>
      <c r="Z25" s="151">
        <v>660.93634153476614</v>
      </c>
      <c r="AA25" s="151">
        <v>140.22343017976212</v>
      </c>
      <c r="AB25" s="151">
        <v>26.634005915058566</v>
      </c>
      <c r="AC25" s="151">
        <v>25.854461032266553</v>
      </c>
      <c r="AD25">
        <v>50</v>
      </c>
      <c r="AE25" s="151">
        <v>988.59922243522703</v>
      </c>
      <c r="AF25" s="151">
        <v>760.16860077824253</v>
      </c>
      <c r="AG25" s="151">
        <v>167.45008490766645</v>
      </c>
      <c r="AH25" s="151">
        <v>38.937753177080857</v>
      </c>
      <c r="AI25" s="151">
        <v>22.042783572237195</v>
      </c>
      <c r="AJ25">
        <v>60</v>
      </c>
      <c r="AK25" s="151">
        <v>1075.6665886182934</v>
      </c>
      <c r="AL25" s="151">
        <v>821.09512193251715</v>
      </c>
      <c r="AM25" s="151">
        <v>187.84762559146731</v>
      </c>
      <c r="AN25" s="151">
        <v>48.641136663494038</v>
      </c>
      <c r="AO25" s="151">
        <v>18.08270443081496</v>
      </c>
    </row>
    <row r="26" spans="1:41" x14ac:dyDescent="0.25">
      <c r="A26">
        <v>10</v>
      </c>
      <c r="B26" s="151">
        <v>28</v>
      </c>
      <c r="C26" s="151">
        <v>650</v>
      </c>
      <c r="D26" s="151"/>
      <c r="F26">
        <v>10</v>
      </c>
      <c r="G26" s="151">
        <v>159.1646523069484</v>
      </c>
      <c r="H26" s="151">
        <v>113.35721019804616</v>
      </c>
      <c r="I26" s="151">
        <v>24.214879050540887</v>
      </c>
      <c r="J26" s="151">
        <v>0.31146643908805105</v>
      </c>
      <c r="K26" s="151">
        <v>21.281096619273306</v>
      </c>
      <c r="L26">
        <v>20</v>
      </c>
      <c r="M26" s="151">
        <v>450.78348091257629</v>
      </c>
      <c r="N26" s="151">
        <v>343.37739866925745</v>
      </c>
      <c r="O26" s="151">
        <v>69.125962471118598</v>
      </c>
      <c r="P26" s="151">
        <v>4.3249006392066196</v>
      </c>
      <c r="Q26" s="151">
        <v>33.955219132993641</v>
      </c>
      <c r="R26">
        <v>30</v>
      </c>
      <c r="S26" s="151">
        <v>684.56163030032189</v>
      </c>
      <c r="T26" s="151">
        <v>532.47792753187787</v>
      </c>
      <c r="U26" s="151">
        <v>109.31580050383705</v>
      </c>
      <c r="V26" s="151">
        <v>13.41844045030769</v>
      </c>
      <c r="W26" s="151">
        <v>29.349461814299325</v>
      </c>
      <c r="X26">
        <v>40</v>
      </c>
      <c r="Y26" s="151">
        <v>855.30096310147974</v>
      </c>
      <c r="Z26" s="151">
        <v>664.69911905093147</v>
      </c>
      <c r="AA26" s="151">
        <v>141.17927828685671</v>
      </c>
      <c r="AB26" s="151">
        <v>24.824471448038974</v>
      </c>
      <c r="AC26" s="151">
        <v>24.598094315652553</v>
      </c>
      <c r="AD26">
        <v>50</v>
      </c>
      <c r="AE26" s="151">
        <v>968.10639790074447</v>
      </c>
      <c r="AF26" s="151">
        <v>747.91147777986032</v>
      </c>
      <c r="AG26" s="151">
        <v>164.81841616585751</v>
      </c>
      <c r="AH26" s="151">
        <v>35.501066624948052</v>
      </c>
      <c r="AI26" s="151">
        <v>19.875437330078597</v>
      </c>
      <c r="AJ26">
        <v>60</v>
      </c>
      <c r="AK26" s="151">
        <v>1035.0229258237798</v>
      </c>
      <c r="AL26" s="151">
        <v>794.17290779907364</v>
      </c>
      <c r="AM26" s="151">
        <v>181.60544819243717</v>
      </c>
      <c r="AN26" s="151">
        <v>43.671169209243871</v>
      </c>
      <c r="AO26" s="151">
        <v>15.573400623025211</v>
      </c>
    </row>
    <row r="27" spans="1:41" x14ac:dyDescent="0.25">
      <c r="A27">
        <v>15</v>
      </c>
      <c r="B27" s="151">
        <v>22</v>
      </c>
      <c r="C27" s="151">
        <v>650</v>
      </c>
      <c r="D27" s="151"/>
      <c r="F27">
        <v>10</v>
      </c>
      <c r="G27" s="151">
        <v>215.62182458178745</v>
      </c>
      <c r="H27" s="151">
        <v>153.25367004126238</v>
      </c>
      <c r="I27" s="151">
        <v>32.439874421565541</v>
      </c>
      <c r="J27" s="151">
        <v>0.51246465383983986</v>
      </c>
      <c r="K27" s="151">
        <v>29.415815465119703</v>
      </c>
      <c r="L27">
        <v>20</v>
      </c>
      <c r="M27" s="151">
        <v>583.93154837986742</v>
      </c>
      <c r="N27" s="151">
        <v>441.50292803215825</v>
      </c>
      <c r="O27" s="151">
        <v>90.412798917433733</v>
      </c>
      <c r="P27" s="151">
        <v>7.865146580717278</v>
      </c>
      <c r="Q27" s="151">
        <v>44.150674849558143</v>
      </c>
      <c r="R27">
        <v>30</v>
      </c>
      <c r="S27" s="151">
        <v>912.06705297939823</v>
      </c>
      <c r="T27" s="151">
        <v>698.18912527410555</v>
      </c>
      <c r="U27" s="151">
        <v>147.16899204451963</v>
      </c>
      <c r="V27" s="151">
        <v>25.807391970838822</v>
      </c>
      <c r="W27" s="151">
        <v>40.901543689934144</v>
      </c>
      <c r="X27">
        <v>40</v>
      </c>
      <c r="Y27" s="151">
        <v>1166.7281053573149</v>
      </c>
      <c r="Z27" s="151">
        <v>886.70655888668296</v>
      </c>
      <c r="AA27" s="151">
        <v>194.66606574823797</v>
      </c>
      <c r="AB27" s="151">
        <v>48.819686203863583</v>
      </c>
      <c r="AC27" s="151">
        <v>36.535794518530352</v>
      </c>
      <c r="AD27">
        <v>50</v>
      </c>
      <c r="AE27" s="151">
        <v>1339.8605363892289</v>
      </c>
      <c r="AF27" s="151">
        <v>1007.9341371172391</v>
      </c>
      <c r="AG27" s="151">
        <v>231.23805201455002</v>
      </c>
      <c r="AH27" s="151">
        <v>69.725411188546985</v>
      </c>
      <c r="AI27" s="151">
        <v>30.962936068892869</v>
      </c>
      <c r="AJ27">
        <v>60</v>
      </c>
      <c r="AK27" s="151">
        <v>1442.2932972464114</v>
      </c>
      <c r="AL27" s="151">
        <v>1074.8691916976977</v>
      </c>
      <c r="AM27" s="151">
        <v>257.84973341677545</v>
      </c>
      <c r="AN27" s="151">
        <v>84.477385111544237</v>
      </c>
      <c r="AO27" s="151">
        <v>25.096987020393868</v>
      </c>
    </row>
    <row r="28" spans="1:41" x14ac:dyDescent="0.25">
      <c r="A28">
        <v>15</v>
      </c>
      <c r="B28" s="151">
        <v>27</v>
      </c>
      <c r="C28" s="151">
        <v>650</v>
      </c>
      <c r="D28" s="151"/>
      <c r="F28">
        <v>10</v>
      </c>
      <c r="G28" s="151">
        <v>240.80468341339849</v>
      </c>
      <c r="H28" s="151">
        <v>170.78904664154112</v>
      </c>
      <c r="I28" s="151">
        <v>36.096403532597435</v>
      </c>
      <c r="J28" s="151">
        <v>0.55847756860807318</v>
      </c>
      <c r="K28" s="151">
        <v>33.360755670651884</v>
      </c>
      <c r="L28">
        <v>20</v>
      </c>
      <c r="M28" s="151">
        <v>623.05608811341244</v>
      </c>
      <c r="N28" s="151">
        <v>471.34622642562584</v>
      </c>
      <c r="O28" s="151">
        <v>96.617565058592859</v>
      </c>
      <c r="P28" s="151">
        <v>7.775599737666048</v>
      </c>
      <c r="Q28" s="151">
        <v>47.316696891527606</v>
      </c>
      <c r="R28">
        <v>30</v>
      </c>
      <c r="S28" s="151">
        <v>939.17993612777695</v>
      </c>
      <c r="T28" s="151">
        <v>721.39216792807019</v>
      </c>
      <c r="U28" s="151">
        <v>152.19218492467843</v>
      </c>
      <c r="V28" s="151">
        <v>24.353189124952909</v>
      </c>
      <c r="W28" s="151">
        <v>41.242394150075384</v>
      </c>
      <c r="X28">
        <v>40</v>
      </c>
      <c r="Y28" s="151">
        <v>1169.793897569346</v>
      </c>
      <c r="Z28" s="151">
        <v>893.84020166491609</v>
      </c>
      <c r="AA28" s="151">
        <v>196.18878364421235</v>
      </c>
      <c r="AB28" s="151">
        <v>44.895242917284229</v>
      </c>
      <c r="AC28" s="151">
        <v>34.869669342933285</v>
      </c>
      <c r="AD28">
        <v>50</v>
      </c>
      <c r="AE28" s="151">
        <v>1316.4040576368</v>
      </c>
      <c r="AF28" s="151">
        <v>996.70946567369276</v>
      </c>
      <c r="AG28" s="151">
        <v>228.33980797966922</v>
      </c>
      <c r="AH28" s="151">
        <v>63.176968605524543</v>
      </c>
      <c r="AI28" s="151">
        <v>28.177815377913401</v>
      </c>
      <c r="AJ28">
        <v>60</v>
      </c>
      <c r="AK28" s="151">
        <v>1395.5747575686869</v>
      </c>
      <c r="AL28" s="151">
        <v>1047.1813604421241</v>
      </c>
      <c r="AM28" s="151">
        <v>250.56634371045627</v>
      </c>
      <c r="AN28" s="151">
        <v>75.901099610704392</v>
      </c>
      <c r="AO28" s="151">
        <v>21.925953805402152</v>
      </c>
    </row>
    <row r="29" spans="1:41" x14ac:dyDescent="0.25">
      <c r="A29">
        <v>15</v>
      </c>
      <c r="B29" s="151">
        <v>32</v>
      </c>
      <c r="C29" s="151">
        <v>650</v>
      </c>
      <c r="F29">
        <v>10</v>
      </c>
      <c r="G29" s="151">
        <v>270.89623727783004</v>
      </c>
      <c r="H29" s="151">
        <v>191.77619273477242</v>
      </c>
      <c r="I29" s="151">
        <v>40.454349345706106</v>
      </c>
      <c r="J29" s="151">
        <v>0.61437770137803183</v>
      </c>
      <c r="K29" s="151">
        <v>38.051317495973507</v>
      </c>
      <c r="L29">
        <v>20</v>
      </c>
      <c r="M29" s="151">
        <v>666.63388273163594</v>
      </c>
      <c r="N29" s="151">
        <v>504.3286162430548</v>
      </c>
      <c r="O29" s="151">
        <v>103.51661206421863</v>
      </c>
      <c r="P29" s="151">
        <v>7.8678339205831191</v>
      </c>
      <c r="Q29" s="151">
        <v>50.920820503779453</v>
      </c>
      <c r="R29">
        <v>30</v>
      </c>
      <c r="S29" s="151">
        <v>961.70836357550024</v>
      </c>
      <c r="T29" s="151">
        <v>740.61915827597136</v>
      </c>
      <c r="U29" s="151">
        <v>156.59156922882661</v>
      </c>
      <c r="V29" s="151">
        <v>23.43848551901991</v>
      </c>
      <c r="W29" s="151">
        <v>41.0591505516824</v>
      </c>
      <c r="X29">
        <v>40</v>
      </c>
      <c r="Y29" s="151">
        <v>1159.2722190634529</v>
      </c>
      <c r="Z29" s="151">
        <v>889.44291664436378</v>
      </c>
      <c r="AA29" s="151">
        <v>195.67040168196073</v>
      </c>
      <c r="AB29" s="151">
        <v>41.798193253614201</v>
      </c>
      <c r="AC29" s="151">
        <v>32.360707483514254</v>
      </c>
      <c r="AD29">
        <v>50</v>
      </c>
      <c r="AE29" s="151">
        <v>1273.9693330334314</v>
      </c>
      <c r="AF29" s="151">
        <v>969.2337913707745</v>
      </c>
      <c r="AG29" s="151">
        <v>222.4894897645232</v>
      </c>
      <c r="AH29" s="151">
        <v>57.54011330180353</v>
      </c>
      <c r="AI29" s="151">
        <v>24.705938596330423</v>
      </c>
      <c r="AJ29">
        <v>60</v>
      </c>
      <c r="AK29" s="151">
        <v>1328.5109974654122</v>
      </c>
      <c r="AL29" s="151">
        <v>1001.8908103481149</v>
      </c>
      <c r="AM29" s="151">
        <v>240.05372763947398</v>
      </c>
      <c r="AN29" s="151">
        <v>68.154334009048924</v>
      </c>
      <c r="AO29" s="151">
        <v>18.412125468774562</v>
      </c>
    </row>
    <row r="30" spans="1:41" x14ac:dyDescent="0.25">
      <c r="A30">
        <v>20</v>
      </c>
      <c r="B30" s="151">
        <v>24</v>
      </c>
      <c r="C30" s="151">
        <v>650</v>
      </c>
      <c r="F30">
        <v>10</v>
      </c>
      <c r="G30" s="151">
        <v>299.31564166661457</v>
      </c>
      <c r="H30" s="151">
        <v>211.39766151476189</v>
      </c>
      <c r="I30" s="151">
        <v>44.400097774631746</v>
      </c>
      <c r="J30" s="151">
        <v>0.82418906682268367</v>
      </c>
      <c r="K30" s="151">
        <v>42.693693310398231</v>
      </c>
      <c r="L30">
        <v>20</v>
      </c>
      <c r="M30" s="151">
        <v>764.91165848318485</v>
      </c>
      <c r="N30" s="151">
        <v>574.72860048926634</v>
      </c>
      <c r="O30" s="151">
        <v>119.4489114568084</v>
      </c>
      <c r="P30" s="151">
        <v>12.17242244214995</v>
      </c>
      <c r="Q30" s="151">
        <v>58.561724094960248</v>
      </c>
      <c r="R30">
        <v>30</v>
      </c>
      <c r="S30" s="151">
        <v>1169.1022279543552</v>
      </c>
      <c r="T30" s="151">
        <v>886.46924889129878</v>
      </c>
      <c r="U30" s="151">
        <v>190.62032025729124</v>
      </c>
      <c r="V30" s="151">
        <v>39.203034334357497</v>
      </c>
      <c r="W30" s="151">
        <v>52.80962447140773</v>
      </c>
      <c r="X30">
        <v>40</v>
      </c>
      <c r="Y30" s="151">
        <v>1466.8401531064064</v>
      </c>
      <c r="Z30" s="151">
        <v>1101.2143533125472</v>
      </c>
      <c r="AA30" s="151">
        <v>247.74853383912748</v>
      </c>
      <c r="AB30" s="151">
        <v>72.121627811644132</v>
      </c>
      <c r="AC30" s="151">
        <v>45.755638143087708</v>
      </c>
      <c r="AD30">
        <v>50</v>
      </c>
      <c r="AE30" s="151">
        <v>1652.2107745137566</v>
      </c>
      <c r="AF30" s="151">
        <v>1225.3983805539042</v>
      </c>
      <c r="AG30" s="151">
        <v>289.56803676196535</v>
      </c>
      <c r="AH30" s="151">
        <v>99.757002788339548</v>
      </c>
      <c r="AI30" s="151">
        <v>37.487354409547343</v>
      </c>
      <c r="AJ30">
        <v>60</v>
      </c>
      <c r="AK30" s="151">
        <v>1745.7357127330124</v>
      </c>
      <c r="AL30" s="151">
        <v>1281.1734968684111</v>
      </c>
      <c r="AM30" s="151">
        <v>318.27451979261446</v>
      </c>
      <c r="AN30" s="151">
        <v>116.96524283738873</v>
      </c>
      <c r="AO30" s="151">
        <v>29.322453234598068</v>
      </c>
    </row>
    <row r="31" spans="1:41" x14ac:dyDescent="0.25">
      <c r="A31">
        <v>20</v>
      </c>
      <c r="B31" s="151">
        <v>29</v>
      </c>
      <c r="C31" s="151">
        <v>650</v>
      </c>
      <c r="F31">
        <v>10</v>
      </c>
      <c r="G31" s="151">
        <v>336.23062196167007</v>
      </c>
      <c r="H31" s="151">
        <v>237.12074910866596</v>
      </c>
      <c r="I31" s="151">
        <v>49.705755849895212</v>
      </c>
      <c r="J31" s="151">
        <v>0.89562547277461402</v>
      </c>
      <c r="K31" s="151">
        <v>48.508491530334283</v>
      </c>
      <c r="L31">
        <v>20</v>
      </c>
      <c r="M31" s="151">
        <v>814.20749605616425</v>
      </c>
      <c r="N31" s="151">
        <v>612.24070540234163</v>
      </c>
      <c r="O31" s="151">
        <v>127.38246201187293</v>
      </c>
      <c r="P31" s="151">
        <v>12.005392926806914</v>
      </c>
      <c r="Q31" s="151">
        <v>62.578935715142812</v>
      </c>
      <c r="R31">
        <v>30</v>
      </c>
      <c r="S31" s="151">
        <v>1198.9352138896541</v>
      </c>
      <c r="T31" s="151">
        <v>912.71603113847243</v>
      </c>
      <c r="U31" s="151">
        <v>196.38831377968151</v>
      </c>
      <c r="V31" s="151">
        <v>36.957894505822011</v>
      </c>
      <c r="W31" s="151">
        <v>52.872974465678226</v>
      </c>
      <c r="X31">
        <v>40</v>
      </c>
      <c r="Y31" s="151">
        <v>1463.4525791664375</v>
      </c>
      <c r="Z31" s="151">
        <v>1105.2345961684334</v>
      </c>
      <c r="AA31" s="151">
        <v>248.57758075107742</v>
      </c>
      <c r="AB31" s="151">
        <v>66.403046583340142</v>
      </c>
      <c r="AC31" s="151">
        <v>43.237355663586825</v>
      </c>
      <c r="AD31">
        <v>50</v>
      </c>
      <c r="AE31" s="151">
        <v>1615.6367642152011</v>
      </c>
      <c r="AF31" s="151">
        <v>1206.4634487081173</v>
      </c>
      <c r="AG31" s="151">
        <v>284.7303089574454</v>
      </c>
      <c r="AH31" s="151">
        <v>90.685250833928592</v>
      </c>
      <c r="AI31" s="151">
        <v>33.757755715709877</v>
      </c>
      <c r="AJ31">
        <v>60</v>
      </c>
      <c r="AK31" s="151">
        <v>1682.7062905074933</v>
      </c>
      <c r="AL31" s="151">
        <v>1243.4651940775755</v>
      </c>
      <c r="AM31" s="151">
        <v>308.22761880075751</v>
      </c>
      <c r="AN31" s="151">
        <v>105.63299985035928</v>
      </c>
      <c r="AO31" s="151">
        <v>25.380477778801055</v>
      </c>
    </row>
    <row r="32" spans="1:41" x14ac:dyDescent="0.25">
      <c r="A32">
        <v>20</v>
      </c>
      <c r="B32" s="151">
        <v>34</v>
      </c>
      <c r="C32" s="151">
        <v>650</v>
      </c>
      <c r="F32">
        <v>10</v>
      </c>
      <c r="G32" s="151">
        <v>383.95025538910193</v>
      </c>
      <c r="H32" s="151">
        <v>270.29121593407552</v>
      </c>
      <c r="I32" s="151">
        <v>56.563503418476344</v>
      </c>
      <c r="J32" s="151">
        <v>0.99474210056107726</v>
      </c>
      <c r="K32" s="151">
        <v>56.10079393598901</v>
      </c>
      <c r="L32">
        <v>20</v>
      </c>
      <c r="M32" s="151">
        <v>872.23277372428061</v>
      </c>
      <c r="N32" s="151">
        <v>655.96427732839925</v>
      </c>
      <c r="O32" s="151">
        <v>136.70645114913373</v>
      </c>
      <c r="P32" s="151">
        <v>12.182761752549407</v>
      </c>
      <c r="Q32" s="151">
        <v>67.379283494198233</v>
      </c>
      <c r="R32">
        <v>30</v>
      </c>
      <c r="S32" s="151">
        <v>1223.626866387943</v>
      </c>
      <c r="T32" s="151">
        <v>934.33484363671209</v>
      </c>
      <c r="U32" s="151">
        <v>201.58288875582326</v>
      </c>
      <c r="V32" s="151">
        <v>35.546302355237891</v>
      </c>
      <c r="W32" s="151">
        <v>52.162831640169621</v>
      </c>
      <c r="X32">
        <v>40</v>
      </c>
      <c r="Y32" s="151">
        <v>1442.7042901887228</v>
      </c>
      <c r="Z32" s="151">
        <v>1094.4451883380632</v>
      </c>
      <c r="AA32" s="151">
        <v>246.934415225614</v>
      </c>
      <c r="AB32" s="151">
        <v>61.766096739349756</v>
      </c>
      <c r="AC32" s="151">
        <v>39.558589885695859</v>
      </c>
      <c r="AD32">
        <v>50</v>
      </c>
      <c r="AE32" s="151">
        <v>1555.5866621416692</v>
      </c>
      <c r="AF32" s="151">
        <v>1167.4248648792402</v>
      </c>
      <c r="AG32" s="151">
        <v>276.38030983118722</v>
      </c>
      <c r="AH32" s="151">
        <v>82.605350595595255</v>
      </c>
      <c r="AI32" s="151">
        <v>29.176136835646584</v>
      </c>
      <c r="AJ32">
        <v>60</v>
      </c>
      <c r="AK32" s="151">
        <v>1595.8598607404288</v>
      </c>
      <c r="AL32" s="151">
        <v>1185.1990523761724</v>
      </c>
      <c r="AM32" s="151">
        <v>294.5317576305651</v>
      </c>
      <c r="AN32" s="151">
        <v>95.027750719334591</v>
      </c>
      <c r="AO32" s="151">
        <v>21.101300014356756</v>
      </c>
    </row>
    <row r="33" spans="1:41" x14ac:dyDescent="0.25">
      <c r="A33">
        <v>25</v>
      </c>
      <c r="B33" s="151">
        <v>25</v>
      </c>
      <c r="C33" s="151">
        <v>650</v>
      </c>
      <c r="F33">
        <v>10</v>
      </c>
      <c r="G33" s="151">
        <v>378.32017543257291</v>
      </c>
      <c r="H33" s="151">
        <v>265.86235851696574</v>
      </c>
      <c r="I33" s="151">
        <v>55.764295966631401</v>
      </c>
      <c r="J33" s="151">
        <v>1.1806065673244808</v>
      </c>
      <c r="K33" s="151">
        <v>55.512914381651278</v>
      </c>
      <c r="L33">
        <v>20</v>
      </c>
      <c r="M33" s="151">
        <v>938.45210874841223</v>
      </c>
      <c r="N33" s="151">
        <v>701.19346459439146</v>
      </c>
      <c r="O33" s="151">
        <v>147.40289525467733</v>
      </c>
      <c r="P33" s="151">
        <v>17.30156440383432</v>
      </c>
      <c r="Q33" s="151">
        <v>72.554184495509048</v>
      </c>
      <c r="R33">
        <v>30</v>
      </c>
      <c r="S33" s="151">
        <v>1415.3293702758674</v>
      </c>
      <c r="T33" s="151">
        <v>1063.736816414335</v>
      </c>
      <c r="U33" s="151">
        <v>232.2829159046411</v>
      </c>
      <c r="V33" s="151">
        <v>54.966604227273216</v>
      </c>
      <c r="W33" s="151">
        <v>64.343033729618028</v>
      </c>
      <c r="X33">
        <v>40</v>
      </c>
      <c r="Y33" s="151">
        <v>1750.8367019073301</v>
      </c>
      <c r="Z33" s="151">
        <v>1299.3547160072355</v>
      </c>
      <c r="AA33" s="151">
        <v>298.21844513524769</v>
      </c>
      <c r="AB33" s="151">
        <v>98.682900308068341</v>
      </c>
      <c r="AC33" s="151">
        <v>54.580640456778546</v>
      </c>
      <c r="AD33">
        <v>50</v>
      </c>
      <c r="AE33" s="151">
        <v>1942.7467541944077</v>
      </c>
      <c r="AF33" s="151">
        <v>1421.9258026842103</v>
      </c>
      <c r="AG33" s="151">
        <v>344.53355457907514</v>
      </c>
      <c r="AH33" s="151">
        <v>132.67883700901564</v>
      </c>
      <c r="AI33" s="151">
        <v>43.608559922106608</v>
      </c>
      <c r="AJ33">
        <v>60</v>
      </c>
      <c r="AK33" s="151">
        <v>2023.1271045283463</v>
      </c>
      <c r="AL33" s="151">
        <v>1463.9237678519701</v>
      </c>
      <c r="AM33" s="151">
        <v>374.82367497258059</v>
      </c>
      <c r="AN33" s="151">
        <v>151.17517555830736</v>
      </c>
      <c r="AO33" s="151">
        <v>33.204486145488232</v>
      </c>
    </row>
    <row r="34" spans="1:41" x14ac:dyDescent="0.25">
      <c r="A34">
        <v>25</v>
      </c>
      <c r="B34" s="151">
        <v>30</v>
      </c>
      <c r="C34" s="151">
        <v>650</v>
      </c>
      <c r="F34">
        <v>10</v>
      </c>
      <c r="G34" s="151">
        <v>426.2210798536284</v>
      </c>
      <c r="H34" s="151">
        <v>299.01706688772924</v>
      </c>
      <c r="I34" s="151">
        <v>62.556199955852485</v>
      </c>
      <c r="J34" s="151">
        <v>1.2828570313803926</v>
      </c>
      <c r="K34" s="151">
        <v>63.364955978666238</v>
      </c>
      <c r="L34">
        <v>20</v>
      </c>
      <c r="M34" s="151">
        <v>997.8505755132087</v>
      </c>
      <c r="N34" s="151">
        <v>746.40259085780679</v>
      </c>
      <c r="O34" s="151">
        <v>157.04149302820653</v>
      </c>
      <c r="P34" s="151">
        <v>17.001884086260407</v>
      </c>
      <c r="Q34" s="151">
        <v>77.404607540934933</v>
      </c>
      <c r="R34">
        <v>30</v>
      </c>
      <c r="S34" s="151">
        <v>1448.6970433918314</v>
      </c>
      <c r="T34" s="151">
        <v>1093.8485343019847</v>
      </c>
      <c r="U34" s="151">
        <v>238.91874495156233</v>
      </c>
      <c r="V34" s="151">
        <v>51.744930513571084</v>
      </c>
      <c r="W34" s="151">
        <v>64.184833624713136</v>
      </c>
      <c r="X34">
        <v>40</v>
      </c>
      <c r="Y34" s="151">
        <v>1743.6469186500624</v>
      </c>
      <c r="Z34" s="151">
        <v>1302.5522981784547</v>
      </c>
      <c r="AA34" s="151">
        <v>298.76170300879414</v>
      </c>
      <c r="AB34" s="151">
        <v>90.978029769422605</v>
      </c>
      <c r="AC34" s="151">
        <v>51.35488769339085</v>
      </c>
      <c r="AD34">
        <v>50</v>
      </c>
      <c r="AE34" s="151">
        <v>1897.7449707604669</v>
      </c>
      <c r="AF34" s="151">
        <v>1399.0481108203735</v>
      </c>
      <c r="AG34" s="151">
        <v>338.48205660269815</v>
      </c>
      <c r="AH34" s="151">
        <v>121.07932094307003</v>
      </c>
      <c r="AI34" s="151">
        <v>39.135482394325308</v>
      </c>
      <c r="AJ34">
        <v>60</v>
      </c>
      <c r="AK34" s="151">
        <v>1949.9399836727018</v>
      </c>
      <c r="AL34" s="151">
        <v>1420.9215212801284</v>
      </c>
      <c r="AM34" s="151">
        <v>362.98900487065902</v>
      </c>
      <c r="AN34" s="151">
        <v>137.34094263778269</v>
      </c>
      <c r="AO34" s="151">
        <v>28.688514884131735</v>
      </c>
    </row>
    <row r="35" spans="1:41" x14ac:dyDescent="0.25">
      <c r="A35">
        <v>25</v>
      </c>
      <c r="B35" s="151">
        <v>35</v>
      </c>
      <c r="C35" s="151">
        <v>650</v>
      </c>
      <c r="F35">
        <v>10</v>
      </c>
      <c r="G35" s="151">
        <v>491.02710960354239</v>
      </c>
      <c r="H35" s="151">
        <v>343.7004903498908</v>
      </c>
      <c r="I35" s="151">
        <v>71.774515271847449</v>
      </c>
      <c r="J35" s="151">
        <v>1.43549464970537</v>
      </c>
      <c r="K35" s="151">
        <v>74.116609332098733</v>
      </c>
      <c r="L35">
        <v>20</v>
      </c>
      <c r="M35" s="151">
        <v>1070.0547656415367</v>
      </c>
      <c r="N35" s="151">
        <v>800.69643763416821</v>
      </c>
      <c r="O35" s="151">
        <v>168.74547668818235</v>
      </c>
      <c r="P35" s="151">
        <v>17.246947875984191</v>
      </c>
      <c r="Q35" s="151">
        <v>83.365903443201987</v>
      </c>
      <c r="R35">
        <v>30</v>
      </c>
      <c r="S35" s="151">
        <v>1476.1346760032641</v>
      </c>
      <c r="T35" s="151">
        <v>1118.4285533807915</v>
      </c>
      <c r="U35" s="151">
        <v>244.99989382561392</v>
      </c>
      <c r="V35" s="151">
        <v>49.706556128202557</v>
      </c>
      <c r="W35" s="151">
        <v>62.999672668656046</v>
      </c>
      <c r="X35">
        <v>40</v>
      </c>
      <c r="Y35" s="151">
        <v>1714.9171157935332</v>
      </c>
      <c r="Z35" s="151">
        <v>1287.3252862464897</v>
      </c>
      <c r="AA35" s="151">
        <v>296.34570260722717</v>
      </c>
      <c r="AB35" s="151">
        <v>84.607614345591017</v>
      </c>
      <c r="AC35" s="151">
        <v>46.63851259422524</v>
      </c>
      <c r="AD35">
        <v>50</v>
      </c>
      <c r="AE35" s="151">
        <v>1824.0584550064566</v>
      </c>
      <c r="AF35" s="151">
        <v>1351.73075761317</v>
      </c>
      <c r="AG35" s="151">
        <v>328.25492746081716</v>
      </c>
      <c r="AH35" s="151">
        <v>110.45750245698547</v>
      </c>
      <c r="AI35" s="151">
        <v>33.615267475484124</v>
      </c>
      <c r="AJ35">
        <v>60</v>
      </c>
      <c r="AK35" s="151">
        <v>1848.3697514745359</v>
      </c>
      <c r="AL35" s="151">
        <v>1353.6926424784808</v>
      </c>
      <c r="AM35" s="151">
        <v>346.91363613383413</v>
      </c>
      <c r="AN35" s="151">
        <v>123.97039478048504</v>
      </c>
      <c r="AO35" s="151">
        <v>23.793078081735871</v>
      </c>
    </row>
    <row r="36" spans="1:41" x14ac:dyDescent="0.25">
      <c r="A36">
        <v>30</v>
      </c>
      <c r="B36" s="151">
        <v>26</v>
      </c>
      <c r="C36" s="151">
        <v>650</v>
      </c>
      <c r="F36">
        <v>10</v>
      </c>
      <c r="G36" s="151">
        <v>458.77000069694321</v>
      </c>
      <c r="H36" s="151">
        <v>321.12104370146864</v>
      </c>
      <c r="I36" s="151">
        <v>67.461246042104918</v>
      </c>
      <c r="J36" s="151">
        <v>1.590771335170496</v>
      </c>
      <c r="K36" s="151">
        <v>68.596939618199187</v>
      </c>
      <c r="L36">
        <v>20</v>
      </c>
      <c r="M36" s="151">
        <v>1113.5236586260175</v>
      </c>
      <c r="N36" s="151">
        <v>827.93159278358462</v>
      </c>
      <c r="O36" s="151">
        <v>175.63713774580489</v>
      </c>
      <c r="P36" s="151">
        <v>23.188596204281353</v>
      </c>
      <c r="Q36" s="151">
        <v>86.766331892346628</v>
      </c>
      <c r="R36">
        <v>30</v>
      </c>
      <c r="S36" s="151">
        <v>1657.8626943266177</v>
      </c>
      <c r="T36" s="151">
        <v>1236.3341222008301</v>
      </c>
      <c r="U36" s="151">
        <v>273.42384749199562</v>
      </c>
      <c r="V36" s="151">
        <v>72.474715209673079</v>
      </c>
      <c r="W36" s="151">
        <v>75.63000942411891</v>
      </c>
      <c r="X36">
        <v>40</v>
      </c>
      <c r="Y36" s="151">
        <v>2022.4885946827217</v>
      </c>
      <c r="Z36" s="151">
        <v>1485.8177616649734</v>
      </c>
      <c r="AA36" s="151">
        <v>346.89937128441358</v>
      </c>
      <c r="AB36" s="151">
        <v>126.98220317695039</v>
      </c>
      <c r="AC36" s="151">
        <v>62.789258556384269</v>
      </c>
      <c r="AD36">
        <v>50</v>
      </c>
      <c r="AE36" s="151">
        <v>2212.2676021705092</v>
      </c>
      <c r="AF36" s="151">
        <v>1600.6584078068906</v>
      </c>
      <c r="AG36" s="151">
        <v>396.42610012259991</v>
      </c>
      <c r="AH36" s="151">
        <v>166.24624084482278</v>
      </c>
      <c r="AI36" s="151">
        <v>48.936853396195808</v>
      </c>
      <c r="AJ36">
        <v>60</v>
      </c>
      <c r="AK36" s="151">
        <v>2273.2435824417812</v>
      </c>
      <c r="AL36" s="151">
        <v>1625.0435159891742</v>
      </c>
      <c r="AM36" s="151">
        <v>427.28558117769751</v>
      </c>
      <c r="AN36" s="151">
        <v>184.59918579925849</v>
      </c>
      <c r="AO36" s="151">
        <v>36.315299475650818</v>
      </c>
    </row>
    <row r="37" spans="1:41" x14ac:dyDescent="0.25">
      <c r="A37">
        <v>30</v>
      </c>
      <c r="B37" s="151">
        <v>31</v>
      </c>
      <c r="C37" s="151">
        <v>650</v>
      </c>
      <c r="F37">
        <v>10</v>
      </c>
      <c r="G37" s="151">
        <v>517.81492204785923</v>
      </c>
      <c r="H37" s="151">
        <v>361.60375370268548</v>
      </c>
      <c r="I37" s="151">
        <v>75.787076482123183</v>
      </c>
      <c r="J37" s="151">
        <v>1.7298615230989272</v>
      </c>
      <c r="K37" s="151">
        <v>78.694230339951702</v>
      </c>
      <c r="L37">
        <v>20</v>
      </c>
      <c r="M37" s="151">
        <v>1183.7519052704224</v>
      </c>
      <c r="N37" s="151">
        <v>881.38598539136547</v>
      </c>
      <c r="O37" s="151">
        <v>187.09009086400843</v>
      </c>
      <c r="P37" s="151">
        <v>22.761193461487384</v>
      </c>
      <c r="Q37" s="151">
        <v>92.514635553561149</v>
      </c>
      <c r="R37">
        <v>30</v>
      </c>
      <c r="S37" s="151">
        <v>1694.6402806132321</v>
      </c>
      <c r="T37" s="151">
        <v>1270.2336662498305</v>
      </c>
      <c r="U37" s="151">
        <v>280.92594466129441</v>
      </c>
      <c r="V37" s="151">
        <v>68.277207790932891</v>
      </c>
      <c r="W37" s="151">
        <v>75.203461911174259</v>
      </c>
      <c r="X37">
        <v>40</v>
      </c>
      <c r="Y37" s="151">
        <v>2011.2386950055052</v>
      </c>
      <c r="Z37" s="151">
        <v>1487.8987228038736</v>
      </c>
      <c r="AA37" s="151">
        <v>347.1298695823703</v>
      </c>
      <c r="AB37" s="151">
        <v>117.38252310343404</v>
      </c>
      <c r="AC37" s="151">
        <v>58.827579515827253</v>
      </c>
      <c r="AD37">
        <v>50</v>
      </c>
      <c r="AE37" s="151">
        <v>2159.0081746786295</v>
      </c>
      <c r="AF37" s="151">
        <v>1573.6855815976573</v>
      </c>
      <c r="AG37" s="151">
        <v>389.19429297500039</v>
      </c>
      <c r="AH37" s="151">
        <v>152.3780461114965</v>
      </c>
      <c r="AI37" s="151">
        <v>43.750253994475322</v>
      </c>
      <c r="AJ37">
        <v>60</v>
      </c>
      <c r="AK37" s="151">
        <v>2190.5923589117861</v>
      </c>
      <c r="AL37" s="151">
        <v>1576.8478505667661</v>
      </c>
      <c r="AM37" s="151">
        <v>413.79272453863859</v>
      </c>
      <c r="AN37" s="151">
        <v>168.65764782145027</v>
      </c>
      <c r="AO37" s="151">
        <v>31.294135984930918</v>
      </c>
    </row>
    <row r="38" spans="1:41" x14ac:dyDescent="0.25">
      <c r="A38">
        <v>30</v>
      </c>
      <c r="B38" s="151">
        <v>36</v>
      </c>
      <c r="C38" s="151">
        <v>650</v>
      </c>
      <c r="F38">
        <v>10</v>
      </c>
      <c r="G38" s="151">
        <v>601.95153616713276</v>
      </c>
      <c r="H38" s="151">
        <v>419.07389855452709</v>
      </c>
      <c r="I38" s="151">
        <v>87.655596470937894</v>
      </c>
      <c r="J38" s="151">
        <v>1.9547127683766843</v>
      </c>
      <c r="K38" s="151">
        <v>93.267328373291051</v>
      </c>
      <c r="L38">
        <v>20</v>
      </c>
      <c r="M38" s="151">
        <v>1272.1161289252182</v>
      </c>
      <c r="N38" s="151">
        <v>947.68229939420576</v>
      </c>
      <c r="O38" s="151">
        <v>201.49315775133454</v>
      </c>
      <c r="P38" s="151">
        <v>23.140430200489732</v>
      </c>
      <c r="Q38" s="151">
        <v>99.800241579188182</v>
      </c>
      <c r="R38">
        <v>30</v>
      </c>
      <c r="S38" s="151">
        <v>1724.7434658040195</v>
      </c>
      <c r="T38" s="151">
        <v>1297.7063629414552</v>
      </c>
      <c r="U38" s="151">
        <v>287.95181652016447</v>
      </c>
      <c r="V38" s="151">
        <v>65.648970346343361</v>
      </c>
      <c r="W38" s="151">
        <v>73.43631599605672</v>
      </c>
      <c r="X38">
        <v>40</v>
      </c>
      <c r="Y38" s="151">
        <v>1973.9781172570329</v>
      </c>
      <c r="Z38" s="151">
        <v>1467.7530380225603</v>
      </c>
      <c r="AA38" s="151">
        <v>343.92957966546754</v>
      </c>
      <c r="AB38" s="151">
        <v>109.29860530653717</v>
      </c>
      <c r="AC38" s="151">
        <v>52.996894262467954</v>
      </c>
      <c r="AD38">
        <v>50</v>
      </c>
      <c r="AE38" s="151">
        <v>2071.9292431379995</v>
      </c>
      <c r="AF38" s="151">
        <v>1518.0910255631773</v>
      </c>
      <c r="AG38" s="151">
        <v>377.18730507363392</v>
      </c>
      <c r="AH38" s="151">
        <v>139.32617114167115</v>
      </c>
      <c r="AI38" s="151">
        <v>37.324741359517262</v>
      </c>
      <c r="AJ38">
        <v>60</v>
      </c>
      <c r="AK38" s="151">
        <v>2075.5978031936565</v>
      </c>
      <c r="AL38" s="151">
        <v>1501.3354643305465</v>
      </c>
      <c r="AM38" s="151">
        <v>395.60184090967158</v>
      </c>
      <c r="AN38" s="151">
        <v>152.77730799405697</v>
      </c>
      <c r="AO38" s="151">
        <v>25.883189959381749</v>
      </c>
    </row>
    <row r="39" spans="1:41" x14ac:dyDescent="0.25">
      <c r="A39">
        <v>5</v>
      </c>
      <c r="B39" s="151">
        <v>15</v>
      </c>
      <c r="C39" s="151">
        <v>900</v>
      </c>
      <c r="F39">
        <v>10</v>
      </c>
      <c r="G39" s="151">
        <v>73.233655920530055</v>
      </c>
      <c r="H39" s="151">
        <v>53.08082091410467</v>
      </c>
      <c r="I39" s="151">
        <v>11.673095361502693</v>
      </c>
      <c r="J39" s="151">
        <v>0.12317699995704318</v>
      </c>
      <c r="K39" s="151">
        <v>8.3565626449656509</v>
      </c>
      <c r="L39">
        <v>20</v>
      </c>
      <c r="M39" s="151">
        <v>254.33093600412624</v>
      </c>
      <c r="N39" s="151">
        <v>193.9742797727921</v>
      </c>
      <c r="O39" s="151">
        <v>38.763408412312096</v>
      </c>
      <c r="P39" s="151">
        <v>2.4560731562668625</v>
      </c>
      <c r="Q39" s="151">
        <v>19.137174662755175</v>
      </c>
      <c r="R39">
        <v>30</v>
      </c>
      <c r="S39" s="151">
        <v>423.35256332709389</v>
      </c>
      <c r="T39" s="151">
        <v>330.31949392039024</v>
      </c>
      <c r="U39" s="151">
        <v>66.154450635418641</v>
      </c>
      <c r="V39" s="151">
        <v>8.4028846730252198</v>
      </c>
      <c r="W39" s="151">
        <v>18.47573409825981</v>
      </c>
      <c r="X39">
        <v>40</v>
      </c>
      <c r="Y39" s="151">
        <v>569.29551896373493</v>
      </c>
      <c r="Z39" s="151">
        <v>443.62954880045373</v>
      </c>
      <c r="AA39" s="151">
        <v>91.410256828913361</v>
      </c>
      <c r="AB39" s="151">
        <v>16.599428319482481</v>
      </c>
      <c r="AC39" s="151">
        <v>17.656285014885317</v>
      </c>
      <c r="AD39">
        <v>50</v>
      </c>
      <c r="AE39" s="151">
        <v>685.92430382587293</v>
      </c>
      <c r="AF39" s="151">
        <v>531.10325334372374</v>
      </c>
      <c r="AG39" s="151">
        <v>113.30979068821114</v>
      </c>
      <c r="AH39" s="151">
        <v>25.158218462639596</v>
      </c>
      <c r="AI39" s="151">
        <v>16.353041331298517</v>
      </c>
      <c r="AJ39">
        <v>60</v>
      </c>
      <c r="AK39" s="151">
        <v>773.88819405445656</v>
      </c>
      <c r="AL39" s="151">
        <v>595.11445691676442</v>
      </c>
      <c r="AM39" s="151">
        <v>131.54703649216526</v>
      </c>
      <c r="AN39" s="151">
        <v>32.622170914367203</v>
      </c>
      <c r="AO39" s="151">
        <v>14.604529731159602</v>
      </c>
    </row>
    <row r="40" spans="1:41" x14ac:dyDescent="0.25">
      <c r="A40">
        <v>5</v>
      </c>
      <c r="B40" s="151">
        <v>20</v>
      </c>
      <c r="C40" s="151">
        <v>900</v>
      </c>
      <c r="F40">
        <v>10</v>
      </c>
      <c r="G40" s="151">
        <v>83.773183760942743</v>
      </c>
      <c r="H40" s="151">
        <v>60.273549042623145</v>
      </c>
      <c r="I40" s="151">
        <v>13.107653077050191</v>
      </c>
      <c r="J40" s="151">
        <v>0.14508357300456429</v>
      </c>
      <c r="K40" s="151">
        <v>10.24689806826483</v>
      </c>
      <c r="L40">
        <v>20</v>
      </c>
      <c r="M40" s="151">
        <v>280.34371576847946</v>
      </c>
      <c r="N40" s="151">
        <v>214.0320158991523</v>
      </c>
      <c r="O40" s="151">
        <v>42.749458070108318</v>
      </c>
      <c r="P40" s="151">
        <v>2.4759883281573445</v>
      </c>
      <c r="Q40" s="151">
        <v>21.086253471061486</v>
      </c>
      <c r="R40">
        <v>30</v>
      </c>
      <c r="S40" s="151">
        <v>453.88725104234317</v>
      </c>
      <c r="T40" s="151">
        <v>354.89541588802189</v>
      </c>
      <c r="U40" s="151">
        <v>71.169030485563809</v>
      </c>
      <c r="V40" s="151">
        <v>8.1810681080963921</v>
      </c>
      <c r="W40" s="151">
        <v>19.641736560661066</v>
      </c>
      <c r="X40">
        <v>40</v>
      </c>
      <c r="Y40" s="151">
        <v>594.21064625968029</v>
      </c>
      <c r="Z40" s="151">
        <v>464.78928512607365</v>
      </c>
      <c r="AA40" s="151">
        <v>95.922100923100416</v>
      </c>
      <c r="AB40" s="151">
        <v>15.712220360824572</v>
      </c>
      <c r="AC40" s="151">
        <v>17.787039849681616</v>
      </c>
      <c r="AD40">
        <v>50</v>
      </c>
      <c r="AE40" s="151">
        <v>700.66686190421296</v>
      </c>
      <c r="AF40" s="151">
        <v>545.26053837637323</v>
      </c>
      <c r="AG40" s="151">
        <v>116.38463734857226</v>
      </c>
      <c r="AH40" s="151">
        <v>23.317857252531127</v>
      </c>
      <c r="AI40" s="151">
        <v>15.703828926736398</v>
      </c>
      <c r="AJ40">
        <v>60</v>
      </c>
      <c r="AK40" s="151">
        <v>776.67595120009457</v>
      </c>
      <c r="AL40" s="151">
        <v>600.7838126174081</v>
      </c>
      <c r="AM40" s="151">
        <v>132.66605727485685</v>
      </c>
      <c r="AN40" s="151">
        <v>29.786724394103022</v>
      </c>
      <c r="AO40" s="151">
        <v>13.439356913726606</v>
      </c>
    </row>
    <row r="41" spans="1:41" x14ac:dyDescent="0.25">
      <c r="A41">
        <v>5</v>
      </c>
      <c r="B41" s="151">
        <v>25</v>
      </c>
      <c r="C41" s="151">
        <v>900</v>
      </c>
      <c r="F41">
        <v>10</v>
      </c>
      <c r="G41" s="151">
        <v>92.93519430889674</v>
      </c>
      <c r="H41" s="151">
        <v>66.627588781118035</v>
      </c>
      <c r="I41" s="151">
        <v>14.409849193467091</v>
      </c>
      <c r="J41" s="151">
        <v>0.1621329885655379</v>
      </c>
      <c r="K41" s="151">
        <v>11.735623345746083</v>
      </c>
      <c r="L41">
        <v>20</v>
      </c>
      <c r="M41" s="151">
        <v>303.03068911142913</v>
      </c>
      <c r="N41" s="151">
        <v>231.51248145357368</v>
      </c>
      <c r="O41" s="151">
        <v>46.240368903923425</v>
      </c>
      <c r="P41" s="151">
        <v>2.4903155098421044</v>
      </c>
      <c r="Q41" s="151">
        <v>22.787523244089925</v>
      </c>
      <c r="R41">
        <v>30</v>
      </c>
      <c r="S41" s="151">
        <v>478.41232212527814</v>
      </c>
      <c r="T41" s="151">
        <v>374.62239836463448</v>
      </c>
      <c r="U41" s="151">
        <v>75.22325280943916</v>
      </c>
      <c r="V41" s="151">
        <v>8.0244223555328738</v>
      </c>
      <c r="W41" s="151">
        <v>20.542248595671616</v>
      </c>
      <c r="X41">
        <v>40</v>
      </c>
      <c r="Y41" s="151">
        <v>609.05910177994201</v>
      </c>
      <c r="Z41" s="151">
        <v>477.76024632148221</v>
      </c>
      <c r="AA41" s="151">
        <v>98.763126968296376</v>
      </c>
      <c r="AB41" s="151">
        <v>15.03329099182209</v>
      </c>
      <c r="AC41" s="151">
        <v>17.502437498341418</v>
      </c>
      <c r="AD41">
        <v>50</v>
      </c>
      <c r="AE41" s="151">
        <v>701.37309555158981</v>
      </c>
      <c r="AF41" s="151">
        <v>547.87928797915845</v>
      </c>
      <c r="AG41" s="151">
        <v>117.08754146781919</v>
      </c>
      <c r="AH41" s="151">
        <v>21.815095913553733</v>
      </c>
      <c r="AI41" s="151">
        <v>14.591170191058412</v>
      </c>
      <c r="AJ41">
        <v>60</v>
      </c>
      <c r="AK41" s="151">
        <v>762.5295208292531</v>
      </c>
      <c r="AL41" s="151">
        <v>592.40965569651019</v>
      </c>
      <c r="AM41" s="151">
        <v>130.88307183697532</v>
      </c>
      <c r="AN41" s="151">
        <v>27.359064068961786</v>
      </c>
      <c r="AO41" s="151">
        <v>11.877729226805855</v>
      </c>
    </row>
    <row r="42" spans="1:41" x14ac:dyDescent="0.25">
      <c r="A42">
        <v>10</v>
      </c>
      <c r="B42" s="151">
        <v>18</v>
      </c>
      <c r="C42" s="151">
        <v>900</v>
      </c>
      <c r="F42">
        <v>10</v>
      </c>
      <c r="G42" s="151">
        <v>168.90573471732199</v>
      </c>
      <c r="H42" s="151">
        <v>120.80709537547972</v>
      </c>
      <c r="I42" s="151">
        <v>25.719847496644725</v>
      </c>
      <c r="J42" s="151">
        <v>0.38761801018986486</v>
      </c>
      <c r="K42" s="151">
        <v>21.9911738350077</v>
      </c>
      <c r="L42">
        <v>20</v>
      </c>
      <c r="M42" s="151">
        <v>465.16007801482704</v>
      </c>
      <c r="N42" s="151">
        <v>352.04161533768792</v>
      </c>
      <c r="O42" s="151">
        <v>71.707131006764044</v>
      </c>
      <c r="P42" s="151">
        <v>6.4347966313533087</v>
      </c>
      <c r="Q42" s="151">
        <v>34.976535039021805</v>
      </c>
      <c r="R42">
        <v>30</v>
      </c>
      <c r="S42" s="151">
        <v>737.29076970477036</v>
      </c>
      <c r="T42" s="151">
        <v>564.8500907834956</v>
      </c>
      <c r="U42" s="151">
        <v>118.35039253611441</v>
      </c>
      <c r="V42" s="151">
        <v>21.132216309962484</v>
      </c>
      <c r="W42" s="151">
        <v>32.958070075197874</v>
      </c>
      <c r="X42">
        <v>40</v>
      </c>
      <c r="Y42" s="151">
        <v>963.43314393626099</v>
      </c>
      <c r="Z42" s="151">
        <v>732.37960859966449</v>
      </c>
      <c r="AA42" s="151">
        <v>159.73356512121802</v>
      </c>
      <c r="AB42" s="151">
        <v>40.500355897760159</v>
      </c>
      <c r="AC42" s="151">
        <v>30.819614317618168</v>
      </c>
      <c r="AD42">
        <v>50</v>
      </c>
      <c r="AE42" s="151">
        <v>1130.7040866845277</v>
      </c>
      <c r="AF42" s="151">
        <v>850.6165696280043</v>
      </c>
      <c r="AG42" s="151">
        <v>193.6625469027563</v>
      </c>
      <c r="AH42" s="151">
        <v>58.933439524042278</v>
      </c>
      <c r="AI42" s="151">
        <v>27.49153062972487</v>
      </c>
      <c r="AJ42">
        <v>60</v>
      </c>
      <c r="AK42" s="151">
        <v>1241.5138205015983</v>
      </c>
      <c r="AL42" s="151">
        <v>925.30219481085385</v>
      </c>
      <c r="AM42" s="151">
        <v>219.98844393085525</v>
      </c>
      <c r="AN42" s="151">
        <v>72.813704309794048</v>
      </c>
      <c r="AO42" s="151">
        <v>23.40947745009511</v>
      </c>
    </row>
    <row r="43" spans="1:41" x14ac:dyDescent="0.25">
      <c r="A43">
        <v>10</v>
      </c>
      <c r="B43" s="151">
        <v>23</v>
      </c>
      <c r="C43" s="151">
        <v>900</v>
      </c>
      <c r="F43">
        <v>10</v>
      </c>
      <c r="G43" s="151">
        <v>190.87047087786698</v>
      </c>
      <c r="H43" s="151">
        <v>136.02424738426259</v>
      </c>
      <c r="I43" s="151">
        <v>28.901904023059824</v>
      </c>
      <c r="J43" s="151">
        <v>0.43254414620939069</v>
      </c>
      <c r="K43" s="151">
        <v>25.511775324335172</v>
      </c>
      <c r="L43">
        <v>20</v>
      </c>
      <c r="M43" s="151">
        <v>505.76221847829504</v>
      </c>
      <c r="N43" s="151">
        <v>382.96586398420214</v>
      </c>
      <c r="O43" s="151">
        <v>78.109466702900548</v>
      </c>
      <c r="P43" s="151">
        <v>6.444289434787204</v>
      </c>
      <c r="Q43" s="151">
        <v>38.242598356405175</v>
      </c>
      <c r="R43">
        <v>30</v>
      </c>
      <c r="S43" s="151">
        <v>773.86335315765405</v>
      </c>
      <c r="T43" s="151">
        <v>594.89810869990413</v>
      </c>
      <c r="U43" s="151">
        <v>124.83399167713625</v>
      </c>
      <c r="V43" s="151">
        <v>20.171504857814845</v>
      </c>
      <c r="W43" s="151">
        <v>33.959747922798826</v>
      </c>
      <c r="X43">
        <v>40</v>
      </c>
      <c r="Y43" s="151">
        <v>985.36018965769392</v>
      </c>
      <c r="Z43" s="151">
        <v>753.30654398063041</v>
      </c>
      <c r="AA43" s="151">
        <v>164.29457762506021</v>
      </c>
      <c r="AB43" s="151">
        <v>37.604984733729893</v>
      </c>
      <c r="AC43" s="151">
        <v>30.154083318273337</v>
      </c>
      <c r="AD43">
        <v>50</v>
      </c>
      <c r="AE43" s="151">
        <v>1133.7656104266471</v>
      </c>
      <c r="AF43" s="151">
        <v>858.92628486136812</v>
      </c>
      <c r="AG43" s="151">
        <v>195.2140300364367</v>
      </c>
      <c r="AH43" s="151">
        <v>53.877075762629062</v>
      </c>
      <c r="AI43" s="151">
        <v>25.748219766213239</v>
      </c>
      <c r="AJ43">
        <v>60</v>
      </c>
      <c r="AK43" s="151">
        <v>1225.9901185940018</v>
      </c>
      <c r="AL43" s="151">
        <v>920.69637320000675</v>
      </c>
      <c r="AM43" s="151">
        <v>218.16671093435053</v>
      </c>
      <c r="AN43" s="151">
        <v>66.014007538143986</v>
      </c>
      <c r="AO43" s="151">
        <v>21.113026921500534</v>
      </c>
    </row>
    <row r="44" spans="1:41" x14ac:dyDescent="0.25">
      <c r="A44">
        <v>10</v>
      </c>
      <c r="B44" s="151">
        <v>28</v>
      </c>
      <c r="C44" s="151">
        <v>900</v>
      </c>
      <c r="F44">
        <v>10</v>
      </c>
      <c r="G44" s="151">
        <v>213.10190118419442</v>
      </c>
      <c r="H44" s="151">
        <v>151.46633314604514</v>
      </c>
      <c r="I44" s="151">
        <v>32.156172152627917</v>
      </c>
      <c r="J44" s="151">
        <v>0.47141387063219137</v>
      </c>
      <c r="K44" s="151">
        <v>29.007982014889169</v>
      </c>
      <c r="L44">
        <v>20</v>
      </c>
      <c r="M44" s="151">
        <v>546.79190438946887</v>
      </c>
      <c r="N44" s="151">
        <v>414.03454235422879</v>
      </c>
      <c r="O44" s="151">
        <v>84.568084141822226</v>
      </c>
      <c r="P44" s="151">
        <v>6.5343336473686042</v>
      </c>
      <c r="Q44" s="151">
        <v>41.654944246049297</v>
      </c>
      <c r="R44">
        <v>30</v>
      </c>
      <c r="S44" s="151">
        <v>804.85727605453451</v>
      </c>
      <c r="T44" s="151">
        <v>620.27062515617081</v>
      </c>
      <c r="U44" s="151">
        <v>130.42389240606934</v>
      </c>
      <c r="V44" s="151">
        <v>19.600726833208316</v>
      </c>
      <c r="W44" s="151">
        <v>34.562031659086117</v>
      </c>
      <c r="X44">
        <v>40</v>
      </c>
      <c r="Y44" s="151">
        <v>994.11689710835674</v>
      </c>
      <c r="Z44" s="151">
        <v>763.1805519061769</v>
      </c>
      <c r="AA44" s="151">
        <v>166.73383692206841</v>
      </c>
      <c r="AB44" s="151">
        <v>35.416743079611123</v>
      </c>
      <c r="AC44" s="151">
        <v>28.785765200500144</v>
      </c>
      <c r="AD44">
        <v>50</v>
      </c>
      <c r="AE44" s="151">
        <v>1117.3850890082356</v>
      </c>
      <c r="AF44" s="151">
        <v>850.83534063330546</v>
      </c>
      <c r="AG44" s="151">
        <v>193.59256918009117</v>
      </c>
      <c r="AH44" s="151">
        <v>49.657728911215614</v>
      </c>
      <c r="AI44" s="151">
        <v>23.299450283623102</v>
      </c>
      <c r="AJ44">
        <v>60</v>
      </c>
      <c r="AK44" s="151">
        <v>1187.1795048512201</v>
      </c>
      <c r="AL44" s="151">
        <v>896.43576849201884</v>
      </c>
      <c r="AM44" s="151">
        <v>212.50047972722203</v>
      </c>
      <c r="AN44" s="151">
        <v>59.962177079036422</v>
      </c>
      <c r="AO44" s="151">
        <v>18.281079552943037</v>
      </c>
    </row>
    <row r="45" spans="1:41" x14ac:dyDescent="0.25">
      <c r="A45">
        <v>15</v>
      </c>
      <c r="B45" s="151">
        <v>22</v>
      </c>
      <c r="C45" s="151">
        <v>900</v>
      </c>
      <c r="F45">
        <v>10</v>
      </c>
      <c r="G45" s="151">
        <v>275.12542624351465</v>
      </c>
      <c r="H45" s="151">
        <v>194.45121922290403</v>
      </c>
      <c r="I45" s="151">
        <v>40.726864892301634</v>
      </c>
      <c r="J45" s="151">
        <v>0.78632125798806252</v>
      </c>
      <c r="K45" s="151">
        <v>39.161020870320918</v>
      </c>
      <c r="L45">
        <v>20</v>
      </c>
      <c r="M45" s="151">
        <v>682.00906396437063</v>
      </c>
      <c r="N45" s="151">
        <v>512.02009080222092</v>
      </c>
      <c r="O45" s="151">
        <v>106.48640123944016</v>
      </c>
      <c r="P45" s="151">
        <v>11.434924428351035</v>
      </c>
      <c r="Q45" s="151">
        <v>52.067647494358589</v>
      </c>
      <c r="R45">
        <v>30</v>
      </c>
      <c r="S45" s="151">
        <v>1047.0529598799601</v>
      </c>
      <c r="T45" s="151">
        <v>792.72108485852675</v>
      </c>
      <c r="U45" s="151">
        <v>170.77058364198481</v>
      </c>
      <c r="V45" s="151">
        <v>36.296663942050628</v>
      </c>
      <c r="W45" s="151">
        <v>47.264627437397671</v>
      </c>
      <c r="X45">
        <v>40</v>
      </c>
      <c r="Y45" s="151">
        <v>1331.1046599621102</v>
      </c>
      <c r="Z45" s="151">
        <v>997.0710170962285</v>
      </c>
      <c r="AA45" s="151">
        <v>224.66515285226413</v>
      </c>
      <c r="AB45" s="151">
        <v>67.065158821209735</v>
      </c>
      <c r="AC45" s="151">
        <v>42.30333119240796</v>
      </c>
      <c r="AD45">
        <v>50</v>
      </c>
      <c r="AE45" s="151">
        <v>1519.5438489458168</v>
      </c>
      <c r="AF45" s="151">
        <v>1124.0552789335034</v>
      </c>
      <c r="AG45" s="151">
        <v>265.87248226251529</v>
      </c>
      <c r="AH45" s="151">
        <v>93.718846140724395</v>
      </c>
      <c r="AI45" s="151">
        <v>35.897241609073802</v>
      </c>
      <c r="AJ45">
        <v>60</v>
      </c>
      <c r="AK45" s="151">
        <v>1623.8660479052146</v>
      </c>
      <c r="AL45" s="151">
        <v>1188.4493337270849</v>
      </c>
      <c r="AM45" s="151">
        <v>295.36758304755563</v>
      </c>
      <c r="AN45" s="151">
        <v>111.07683442021187</v>
      </c>
      <c r="AO45" s="151">
        <v>28.972296710362318</v>
      </c>
    </row>
    <row r="46" spans="1:41" x14ac:dyDescent="0.25">
      <c r="A46">
        <v>15</v>
      </c>
      <c r="B46" s="151">
        <v>27</v>
      </c>
      <c r="C46" s="151">
        <v>900</v>
      </c>
      <c r="F46">
        <v>10</v>
      </c>
      <c r="G46" s="151">
        <v>310.91732826004528</v>
      </c>
      <c r="H46" s="151">
        <v>219.43499258324388</v>
      </c>
      <c r="I46" s="151">
        <v>45.942792473863008</v>
      </c>
      <c r="J46" s="151">
        <v>0.85797740647331655</v>
      </c>
      <c r="K46" s="151">
        <v>44.681565796465094</v>
      </c>
      <c r="L46">
        <v>20</v>
      </c>
      <c r="M46" s="151">
        <v>734.00047104734949</v>
      </c>
      <c r="N46" s="151">
        <v>551.41586701593712</v>
      </c>
      <c r="O46" s="151">
        <v>114.85159490650564</v>
      </c>
      <c r="P46" s="151">
        <v>11.420544545414616</v>
      </c>
      <c r="Q46" s="151">
        <v>56.31246457949203</v>
      </c>
      <c r="R46">
        <v>30</v>
      </c>
      <c r="S46" s="151">
        <v>1085.4737057235463</v>
      </c>
      <c r="T46" s="151">
        <v>825.08171402201629</v>
      </c>
      <c r="U46" s="151">
        <v>177.91854372607247</v>
      </c>
      <c r="V46" s="151">
        <v>34.604003302666101</v>
      </c>
      <c r="W46" s="151">
        <v>47.869444672791523</v>
      </c>
      <c r="X46">
        <v>40</v>
      </c>
      <c r="Y46" s="151">
        <v>1342.3475863943036</v>
      </c>
      <c r="Z46" s="151">
        <v>1011.6165473042599</v>
      </c>
      <c r="AA46" s="151">
        <v>227.91269602676451</v>
      </c>
      <c r="AB46" s="151">
        <v>62.324965439785537</v>
      </c>
      <c r="AC46" s="151">
        <v>40.493377623493728</v>
      </c>
      <c r="AD46">
        <v>50</v>
      </c>
      <c r="AE46" s="151">
        <v>1501.6223357829526</v>
      </c>
      <c r="AF46" s="151">
        <v>1118.6582602179735</v>
      </c>
      <c r="AG46" s="151">
        <v>264.25271231882232</v>
      </c>
      <c r="AH46" s="151">
        <v>85.892703629398653</v>
      </c>
      <c r="AI46" s="151">
        <v>32.818659616758126</v>
      </c>
      <c r="AJ46">
        <v>60</v>
      </c>
      <c r="AK46" s="151">
        <v>1581.1822080726852</v>
      </c>
      <c r="AL46" s="151">
        <v>1165.5898746192727</v>
      </c>
      <c r="AM46" s="151">
        <v>289.00557571939584</v>
      </c>
      <c r="AN46" s="151">
        <v>101.08011976052509</v>
      </c>
      <c r="AO46" s="151">
        <v>25.506637973491568</v>
      </c>
    </row>
    <row r="47" spans="1:41" x14ac:dyDescent="0.25">
      <c r="A47">
        <v>15</v>
      </c>
      <c r="B47" s="151">
        <v>32</v>
      </c>
      <c r="C47" s="151">
        <v>900</v>
      </c>
      <c r="F47">
        <v>10</v>
      </c>
      <c r="G47" s="151">
        <v>353.23074670768813</v>
      </c>
      <c r="H47" s="151">
        <v>248.94836178128779</v>
      </c>
      <c r="I47" s="151">
        <v>52.118515693069995</v>
      </c>
      <c r="J47" s="151">
        <v>0.9430337131577945</v>
      </c>
      <c r="K47" s="151">
        <v>51.220835520172542</v>
      </c>
      <c r="L47">
        <v>20</v>
      </c>
      <c r="M47" s="151">
        <v>791.72436325343688</v>
      </c>
      <c r="N47" s="151">
        <v>594.83920732677063</v>
      </c>
      <c r="O47" s="151">
        <v>124.11682603410996</v>
      </c>
      <c r="P47" s="151">
        <v>11.659400235095003</v>
      </c>
      <c r="Q47" s="151">
        <v>61.10892965746131</v>
      </c>
      <c r="R47">
        <v>30</v>
      </c>
      <c r="S47" s="151">
        <v>1118.5941279069077</v>
      </c>
      <c r="T47" s="151">
        <v>852.78325389913562</v>
      </c>
      <c r="U47" s="151">
        <v>184.36932268732645</v>
      </c>
      <c r="V47" s="151">
        <v>33.604784360986905</v>
      </c>
      <c r="W47" s="151">
        <v>47.836766959458906</v>
      </c>
      <c r="X47">
        <v>40</v>
      </c>
      <c r="Y47" s="151">
        <v>1337.4045603427485</v>
      </c>
      <c r="Z47" s="151">
        <v>1012.4246301549471</v>
      </c>
      <c r="AA47" s="151">
        <v>228.7536823060197</v>
      </c>
      <c r="AB47" s="151">
        <v>58.557243565263256</v>
      </c>
      <c r="AC47" s="151">
        <v>37.669004316518503</v>
      </c>
      <c r="AD47">
        <v>50</v>
      </c>
      <c r="AE47" s="151">
        <v>1460.6682225241993</v>
      </c>
      <c r="AF47" s="151">
        <v>1093.7108884916986</v>
      </c>
      <c r="AG47" s="151">
        <v>259.07864956666577</v>
      </c>
      <c r="AH47" s="151">
        <v>78.992964086468277</v>
      </c>
      <c r="AI47" s="151">
        <v>28.885720379366749</v>
      </c>
      <c r="AJ47">
        <v>60</v>
      </c>
      <c r="AK47" s="151">
        <v>1513.2416724709224</v>
      </c>
      <c r="AL47" s="151">
        <v>1121.2862494837509</v>
      </c>
      <c r="AM47" s="151">
        <v>278.65923844667952</v>
      </c>
      <c r="AN47" s="151">
        <v>91.733979586525834</v>
      </c>
      <c r="AO47" s="151">
        <v>21.562204953966152</v>
      </c>
    </row>
    <row r="48" spans="1:41" x14ac:dyDescent="0.25">
      <c r="A48">
        <v>20</v>
      </c>
      <c r="B48" s="151">
        <v>24</v>
      </c>
      <c r="C48" s="151">
        <v>900</v>
      </c>
      <c r="F48">
        <v>10</v>
      </c>
      <c r="G48" s="151">
        <v>372.44322156596769</v>
      </c>
      <c r="H48" s="151">
        <v>261.05052068216037</v>
      </c>
      <c r="I48" s="151">
        <v>54.491739669154299</v>
      </c>
      <c r="J48" s="151">
        <v>1.2565555061559515</v>
      </c>
      <c r="K48" s="151">
        <v>55.644405708497089</v>
      </c>
      <c r="L48">
        <v>20</v>
      </c>
      <c r="M48" s="151">
        <v>884.36769840886416</v>
      </c>
      <c r="N48" s="151">
        <v>659.44638169641519</v>
      </c>
      <c r="O48" s="151">
        <v>139.174083306277</v>
      </c>
      <c r="P48" s="151">
        <v>17.443287555247505</v>
      </c>
      <c r="Q48" s="151">
        <v>68.303945850924393</v>
      </c>
      <c r="R48">
        <v>30</v>
      </c>
      <c r="S48" s="151">
        <v>1335.6604310606817</v>
      </c>
      <c r="T48" s="151">
        <v>1000.7620740072235</v>
      </c>
      <c r="U48" s="151">
        <v>219.71118084031963</v>
      </c>
      <c r="V48" s="151">
        <v>54.414913568807791</v>
      </c>
      <c r="W48" s="151">
        <v>60.772262644330809</v>
      </c>
      <c r="X48">
        <v>40</v>
      </c>
      <c r="Y48" s="151">
        <v>1667.3489674032348</v>
      </c>
      <c r="Z48" s="151">
        <v>1232.2782629819615</v>
      </c>
      <c r="AA48" s="151">
        <v>284.42311290559343</v>
      </c>
      <c r="AB48" s="151">
        <v>97.768737215278122</v>
      </c>
      <c r="AC48" s="151">
        <v>52.87885430040189</v>
      </c>
      <c r="AD48">
        <v>50</v>
      </c>
      <c r="AE48" s="151">
        <v>1865.8655347891588</v>
      </c>
      <c r="AF48" s="151">
        <v>1359.120411046549</v>
      </c>
      <c r="AG48" s="151">
        <v>331.26349179165203</v>
      </c>
      <c r="AH48" s="151">
        <v>132.14921670866673</v>
      </c>
      <c r="AI48" s="151">
        <v>43.332415242291084</v>
      </c>
      <c r="AJ48">
        <v>60</v>
      </c>
      <c r="AK48" s="151">
        <v>1955.15038866347</v>
      </c>
      <c r="AL48" s="151">
        <v>1407.470618612221</v>
      </c>
      <c r="AM48" s="151">
        <v>362.69518223493066</v>
      </c>
      <c r="AN48" s="151">
        <v>151.32112483965273</v>
      </c>
      <c r="AO48" s="151">
        <v>33.663462976665429</v>
      </c>
    </row>
    <row r="49" spans="1:41" x14ac:dyDescent="0.25">
      <c r="A49">
        <v>20</v>
      </c>
      <c r="B49" s="151">
        <v>29</v>
      </c>
      <c r="C49" s="151">
        <v>900</v>
      </c>
      <c r="F49">
        <v>10</v>
      </c>
      <c r="G49" s="151">
        <v>422.60878939498144</v>
      </c>
      <c r="H49" s="151">
        <v>295.80347306207022</v>
      </c>
      <c r="I49" s="151">
        <v>61.672752885685107</v>
      </c>
      <c r="J49" s="151">
        <v>1.3719213000917827</v>
      </c>
      <c r="K49" s="151">
        <v>63.760642147134341</v>
      </c>
      <c r="L49">
        <v>20</v>
      </c>
      <c r="M49" s="151">
        <v>948.49762577049671</v>
      </c>
      <c r="N49" s="151">
        <v>707.99337622579844</v>
      </c>
      <c r="O49" s="151">
        <v>149.59648043330512</v>
      </c>
      <c r="P49" s="151">
        <v>17.368410661382921</v>
      </c>
      <c r="Q49" s="151">
        <v>73.539358450010312</v>
      </c>
      <c r="R49">
        <v>30</v>
      </c>
      <c r="S49" s="151">
        <v>1377.3362192324685</v>
      </c>
      <c r="T49" s="151">
        <v>1036.7567639472511</v>
      </c>
      <c r="U49" s="151">
        <v>227.75572710693061</v>
      </c>
      <c r="V49" s="151">
        <v>51.782065774516539</v>
      </c>
      <c r="W49" s="151">
        <v>61.041662403770417</v>
      </c>
      <c r="X49">
        <v>40</v>
      </c>
      <c r="Y49" s="151">
        <v>1671.650581537059</v>
      </c>
      <c r="Z49" s="151">
        <v>1243.6717751293595</v>
      </c>
      <c r="AA49" s="151">
        <v>286.97001159057976</v>
      </c>
      <c r="AB49" s="151">
        <v>90.902259362434947</v>
      </c>
      <c r="AC49" s="151">
        <v>50.106535454684639</v>
      </c>
      <c r="AD49">
        <v>50</v>
      </c>
      <c r="AE49" s="151">
        <v>1834.1743397905618</v>
      </c>
      <c r="AF49" s="151">
        <v>1345.8479892499106</v>
      </c>
      <c r="AG49" s="151">
        <v>327.63305671918732</v>
      </c>
      <c r="AH49" s="151">
        <v>121.45829143726323</v>
      </c>
      <c r="AI49" s="151">
        <v>39.235002384200683</v>
      </c>
      <c r="AJ49">
        <v>60</v>
      </c>
      <c r="AK49" s="151">
        <v>1895.8218663978453</v>
      </c>
      <c r="AL49" s="151">
        <v>1374.542649453382</v>
      </c>
      <c r="AM49" s="151">
        <v>353.50187088795701</v>
      </c>
      <c r="AN49" s="151">
        <v>138.37351511047453</v>
      </c>
      <c r="AO49" s="151">
        <v>29.4038309460317</v>
      </c>
    </row>
    <row r="50" spans="1:41" x14ac:dyDescent="0.25">
      <c r="A50">
        <v>20</v>
      </c>
      <c r="B50" s="151">
        <v>34</v>
      </c>
      <c r="C50" s="151">
        <v>900</v>
      </c>
      <c r="F50">
        <v>10</v>
      </c>
      <c r="G50" s="151">
        <v>486.91949507736439</v>
      </c>
      <c r="H50" s="151">
        <v>340.20166231902579</v>
      </c>
      <c r="I50" s="151">
        <v>70.909923068351873</v>
      </c>
      <c r="J50" s="151">
        <v>1.5281506178052242</v>
      </c>
      <c r="K50" s="151">
        <v>74.279759072181477</v>
      </c>
      <c r="L50">
        <v>20</v>
      </c>
      <c r="M50" s="151">
        <v>1023.445148812138</v>
      </c>
      <c r="N50" s="151">
        <v>764.19025410740005</v>
      </c>
      <c r="O50" s="151">
        <v>161.75824650366775</v>
      </c>
      <c r="P50" s="151">
        <v>17.773784152169107</v>
      </c>
      <c r="Q50" s="151">
        <v>79.722864048901087</v>
      </c>
      <c r="R50">
        <v>30</v>
      </c>
      <c r="S50" s="151">
        <v>1413.2446810141116</v>
      </c>
      <c r="T50" s="151">
        <v>1067.4258537507656</v>
      </c>
      <c r="U50" s="151">
        <v>235.20496998186195</v>
      </c>
      <c r="V50" s="151">
        <v>50.221539742330037</v>
      </c>
      <c r="W50" s="151">
        <v>60.392317539154028</v>
      </c>
      <c r="X50">
        <v>40</v>
      </c>
      <c r="Y50" s="151">
        <v>1655.5149991291021</v>
      </c>
      <c r="Z50" s="151">
        <v>1237.6273818232653</v>
      </c>
      <c r="AA50" s="151">
        <v>286.65114731351889</v>
      </c>
      <c r="AB50" s="151">
        <v>85.282690603806898</v>
      </c>
      <c r="AC50" s="151">
        <v>45.953779388511144</v>
      </c>
      <c r="AD50">
        <v>50</v>
      </c>
      <c r="AE50" s="151">
        <v>1774.2176132457425</v>
      </c>
      <c r="AF50" s="151">
        <v>1308.6389358196986</v>
      </c>
      <c r="AG50" s="151">
        <v>319.82085353232526</v>
      </c>
      <c r="AH50" s="151">
        <v>111.67867179471416</v>
      </c>
      <c r="AI50" s="151">
        <v>34.079152099004524</v>
      </c>
      <c r="AJ50">
        <v>60</v>
      </c>
      <c r="AK50" s="151">
        <v>1807.1032836658021</v>
      </c>
      <c r="AL50" s="151">
        <v>1316.8218953952653</v>
      </c>
      <c r="AM50" s="151">
        <v>339.83986005593886</v>
      </c>
      <c r="AN50" s="151">
        <v>125.78941988098603</v>
      </c>
      <c r="AO50" s="151">
        <v>24.652108333612016</v>
      </c>
    </row>
    <row r="51" spans="1:41" x14ac:dyDescent="0.25">
      <c r="A51">
        <v>25</v>
      </c>
      <c r="B51" s="151">
        <v>25</v>
      </c>
      <c r="C51" s="151">
        <v>900</v>
      </c>
      <c r="F51">
        <v>10</v>
      </c>
      <c r="G51" s="151">
        <v>461.51442290931953</v>
      </c>
      <c r="H51" s="151">
        <v>321.55505988395453</v>
      </c>
      <c r="I51" s="151">
        <v>67.3233829058277</v>
      </c>
      <c r="J51" s="151">
        <v>1.7821274797570799</v>
      </c>
      <c r="K51" s="151">
        <v>70.853852639780229</v>
      </c>
      <c r="L51">
        <v>20</v>
      </c>
      <c r="M51" s="151">
        <v>1077.3151002934544</v>
      </c>
      <c r="N51" s="151">
        <v>798.54245797598037</v>
      </c>
      <c r="O51" s="151">
        <v>170.36452141798085</v>
      </c>
      <c r="P51" s="151">
        <v>24.491002379339132</v>
      </c>
      <c r="Q51" s="151">
        <v>83.917118520154119</v>
      </c>
      <c r="R51">
        <v>30</v>
      </c>
      <c r="S51" s="151">
        <v>1611.1027114434869</v>
      </c>
      <c r="T51" s="151">
        <v>1195.4190540890716</v>
      </c>
      <c r="U51" s="151">
        <v>266.37943567875868</v>
      </c>
      <c r="V51" s="151">
        <v>75.447750830621047</v>
      </c>
      <c r="W51" s="151">
        <v>73.856470845035759</v>
      </c>
      <c r="X51">
        <v>40</v>
      </c>
      <c r="Y51" s="151">
        <v>1983.731092621304</v>
      </c>
      <c r="Z51" s="151">
        <v>1447.6062678704686</v>
      </c>
      <c r="AA51" s="151">
        <v>340.90988389470323</v>
      </c>
      <c r="AB51" s="151">
        <v>132.22770784995589</v>
      </c>
      <c r="AC51" s="151">
        <v>62.987233006176183</v>
      </c>
      <c r="AD51">
        <v>50</v>
      </c>
      <c r="AE51" s="151">
        <v>2184.9267857933451</v>
      </c>
      <c r="AF51" s="151">
        <v>1568.8133763501128</v>
      </c>
      <c r="AG51" s="151">
        <v>392.42022166167192</v>
      </c>
      <c r="AH51" s="151">
        <v>173.46178638681155</v>
      </c>
      <c r="AI51" s="151">
        <v>50.231401394749071</v>
      </c>
      <c r="AJ51">
        <v>60</v>
      </c>
      <c r="AK51" s="151">
        <v>2254.0253850975041</v>
      </c>
      <c r="AL51" s="151">
        <v>1598.3147888436426</v>
      </c>
      <c r="AM51" s="151">
        <v>425.14269165937333</v>
      </c>
      <c r="AN51" s="151">
        <v>192.69421321213468</v>
      </c>
      <c r="AO51" s="151">
        <v>37.873691382353563</v>
      </c>
    </row>
    <row r="52" spans="1:41" x14ac:dyDescent="0.25">
      <c r="A52">
        <v>25</v>
      </c>
      <c r="B52" s="151">
        <v>30</v>
      </c>
      <c r="C52" s="151">
        <v>900</v>
      </c>
      <c r="F52">
        <v>10</v>
      </c>
      <c r="G52" s="151">
        <v>524.50333183281919</v>
      </c>
      <c r="H52" s="151">
        <v>364.67851265628246</v>
      </c>
      <c r="I52" s="151">
        <v>76.225530582831993</v>
      </c>
      <c r="J52" s="151">
        <v>1.9488008028482089</v>
      </c>
      <c r="K52" s="151">
        <v>81.650487790856644</v>
      </c>
      <c r="L52">
        <v>20</v>
      </c>
      <c r="M52" s="151">
        <v>1153.2399430732237</v>
      </c>
      <c r="N52" s="151">
        <v>856.07266594436521</v>
      </c>
      <c r="O52" s="151">
        <v>182.77252061791148</v>
      </c>
      <c r="P52" s="151">
        <v>24.287176393545284</v>
      </c>
      <c r="Q52" s="151">
        <v>90.107580117401682</v>
      </c>
      <c r="R52">
        <v>30</v>
      </c>
      <c r="S52" s="151">
        <v>1656.8866695401964</v>
      </c>
      <c r="T52" s="151">
        <v>1235.9268664606195</v>
      </c>
      <c r="U52" s="151">
        <v>275.44167860921942</v>
      </c>
      <c r="V52" s="151">
        <v>71.657715044507768</v>
      </c>
      <c r="W52" s="151">
        <v>73.860409425849596</v>
      </c>
      <c r="X52">
        <v>40</v>
      </c>
      <c r="Y52" s="151">
        <v>1984.3687878015321</v>
      </c>
      <c r="Z52" s="151">
        <v>1458.6064833087933</v>
      </c>
      <c r="AA52" s="151">
        <v>343.24922309749559</v>
      </c>
      <c r="AB52" s="151">
        <v>123.06895406373836</v>
      </c>
      <c r="AC52" s="151">
        <v>59.444127331505051</v>
      </c>
      <c r="AD52">
        <v>50</v>
      </c>
      <c r="AE52" s="151">
        <v>2145.2760705560568</v>
      </c>
      <c r="AF52" s="151">
        <v>1552.1837413210806</v>
      </c>
      <c r="AG52" s="151">
        <v>387.66926758763844</v>
      </c>
      <c r="AH52" s="151">
        <v>160.04701641937865</v>
      </c>
      <c r="AI52" s="151">
        <v>45.376045227959104</v>
      </c>
      <c r="AJ52">
        <v>60</v>
      </c>
      <c r="AK52" s="151">
        <v>2185.4924647077564</v>
      </c>
      <c r="AL52" s="151">
        <v>1560.846510874587</v>
      </c>
      <c r="AM52" s="151">
        <v>414.30055166300338</v>
      </c>
      <c r="AN52" s="151">
        <v>177.2799951945849</v>
      </c>
      <c r="AO52" s="151">
        <v>33.065406975581006</v>
      </c>
    </row>
    <row r="53" spans="1:41" x14ac:dyDescent="0.25">
      <c r="A53">
        <v>25</v>
      </c>
      <c r="B53" s="151">
        <v>35</v>
      </c>
      <c r="C53" s="151">
        <v>900</v>
      </c>
      <c r="F53">
        <v>10</v>
      </c>
      <c r="G53" s="151">
        <v>609.53684713922121</v>
      </c>
      <c r="H53" s="151">
        <v>422.775296377068</v>
      </c>
      <c r="I53" s="151">
        <v>88.237023064962457</v>
      </c>
      <c r="J53" s="151">
        <v>2.1916314678424498</v>
      </c>
      <c r="K53" s="151">
        <v>96.332896229348222</v>
      </c>
      <c r="L53">
        <v>20</v>
      </c>
      <c r="M53" s="151">
        <v>1245.2205778691173</v>
      </c>
      <c r="N53" s="151">
        <v>925.00722765263424</v>
      </c>
      <c r="O53" s="151">
        <v>197.74990777655924</v>
      </c>
      <c r="P53" s="151">
        <v>24.838014619260022</v>
      </c>
      <c r="Q53" s="151">
        <v>97.625427820663703</v>
      </c>
      <c r="R53">
        <v>30</v>
      </c>
      <c r="S53" s="151">
        <v>1696.413649841295</v>
      </c>
      <c r="T53" s="151">
        <v>1270.3758692776548</v>
      </c>
      <c r="U53" s="151">
        <v>283.98779068232983</v>
      </c>
      <c r="V53" s="151">
        <v>69.384295020407095</v>
      </c>
      <c r="W53" s="151">
        <v>72.665694860903216</v>
      </c>
      <c r="X53">
        <v>40</v>
      </c>
      <c r="Y53" s="151">
        <v>1959.9661847579521</v>
      </c>
      <c r="Z53" s="151">
        <v>1448.2114439858535</v>
      </c>
      <c r="AA53" s="151">
        <v>342.20518727995733</v>
      </c>
      <c r="AB53" s="151">
        <v>115.40931924413755</v>
      </c>
      <c r="AC53" s="151">
        <v>54.140234248003622</v>
      </c>
      <c r="AD53">
        <v>50</v>
      </c>
      <c r="AE53" s="151">
        <v>2071.3687601961947</v>
      </c>
      <c r="AF53" s="151">
        <v>1506.7733914881003</v>
      </c>
      <c r="AG53" s="151">
        <v>377.99247107251983</v>
      </c>
      <c r="AH53" s="151">
        <v>147.38118686991388</v>
      </c>
      <c r="AI53" s="151">
        <v>39.221710765660376</v>
      </c>
      <c r="AJ53">
        <v>60</v>
      </c>
      <c r="AK53" s="151">
        <v>2082.2538930680844</v>
      </c>
      <c r="AL53" s="151">
        <v>1494.5202062482242</v>
      </c>
      <c r="AM53" s="151">
        <v>398.31125841696468</v>
      </c>
      <c r="AN53" s="151">
        <v>161.72541859625045</v>
      </c>
      <c r="AO53" s="151">
        <v>27.697009806645291</v>
      </c>
    </row>
    <row r="54" spans="1:41" x14ac:dyDescent="0.25">
      <c r="A54">
        <v>30</v>
      </c>
      <c r="B54" s="151">
        <v>26</v>
      </c>
      <c r="C54" s="151">
        <v>900</v>
      </c>
      <c r="F54">
        <v>10</v>
      </c>
      <c r="G54" s="151">
        <v>551.73499721360679</v>
      </c>
      <c r="H54" s="151">
        <v>382.81296399358553</v>
      </c>
      <c r="I54" s="151">
        <v>80.496851979543791</v>
      </c>
      <c r="J54" s="151">
        <v>2.3787322752554325</v>
      </c>
      <c r="K54" s="151">
        <v>86.046448965222126</v>
      </c>
      <c r="L54">
        <v>20</v>
      </c>
      <c r="M54" s="151">
        <v>1272.279823336555</v>
      </c>
      <c r="N54" s="151">
        <v>938.11799163924491</v>
      </c>
      <c r="O54" s="151">
        <v>201.87493180405539</v>
      </c>
      <c r="P54" s="151">
        <v>32.51320800646026</v>
      </c>
      <c r="Q54" s="151">
        <v>99.773691886794282</v>
      </c>
      <c r="R54">
        <v>30</v>
      </c>
      <c r="S54" s="151">
        <v>1882.7653198099965</v>
      </c>
      <c r="T54" s="151">
        <v>1384.9419395524631</v>
      </c>
      <c r="U54" s="151">
        <v>312.49711323859634</v>
      </c>
      <c r="V54" s="151">
        <v>98.626597326601924</v>
      </c>
      <c r="W54" s="151">
        <v>86.699669692335078</v>
      </c>
      <c r="X54">
        <v>40</v>
      </c>
      <c r="Y54" s="151">
        <v>2285.9583465199075</v>
      </c>
      <c r="Z54" s="151">
        <v>1649.6420303309192</v>
      </c>
      <c r="AA54" s="151">
        <v>395.35989353574905</v>
      </c>
      <c r="AB54" s="151">
        <v>168.57351568399906</v>
      </c>
      <c r="AC54" s="151">
        <v>72.38290696924021</v>
      </c>
      <c r="AD54">
        <v>50</v>
      </c>
      <c r="AE54" s="151">
        <v>2479.626897628189</v>
      </c>
      <c r="AF54" s="151">
        <v>1758.3783044027468</v>
      </c>
      <c r="AG54" s="151">
        <v>450.04479779383621</v>
      </c>
      <c r="AH54" s="151">
        <v>215.02080226838439</v>
      </c>
      <c r="AI54" s="151">
        <v>56.182993163221639</v>
      </c>
      <c r="AJ54">
        <v>60</v>
      </c>
      <c r="AK54" s="151">
        <v>2521.8026411702353</v>
      </c>
      <c r="AL54" s="151">
        <v>1765.23246546771</v>
      </c>
      <c r="AM54" s="151">
        <v>482.93657101558847</v>
      </c>
      <c r="AN54" s="151">
        <v>232.45422562669532</v>
      </c>
      <c r="AO54" s="151">
        <v>41.179379060241729</v>
      </c>
    </row>
    <row r="55" spans="1:41" x14ac:dyDescent="0.25">
      <c r="A55">
        <v>30</v>
      </c>
      <c r="B55" s="151">
        <v>31</v>
      </c>
      <c r="C55" s="151">
        <v>900</v>
      </c>
      <c r="F55">
        <v>10</v>
      </c>
      <c r="G55" s="151">
        <v>628.19798810197631</v>
      </c>
      <c r="H55" s="151">
        <v>434.72832878295532</v>
      </c>
      <c r="I55" s="151">
        <v>91.211192218125575</v>
      </c>
      <c r="J55" s="151">
        <v>2.6045733308012884</v>
      </c>
      <c r="K55" s="151">
        <v>99.653893770094072</v>
      </c>
      <c r="L55">
        <v>20</v>
      </c>
      <c r="M55" s="151">
        <v>1361.2098186785586</v>
      </c>
      <c r="N55" s="151">
        <v>1005.6282128350991</v>
      </c>
      <c r="O55" s="151">
        <v>216.40483755143654</v>
      </c>
      <c r="P55" s="151">
        <v>32.193128891870067</v>
      </c>
      <c r="Q55" s="151">
        <v>106.98363940015291</v>
      </c>
      <c r="R55">
        <v>30</v>
      </c>
      <c r="S55" s="151">
        <v>1932.7867299494476</v>
      </c>
      <c r="T55" s="151">
        <v>1430.1057878886725</v>
      </c>
      <c r="U55" s="151">
        <v>322.59200292298453</v>
      </c>
      <c r="V55" s="151">
        <v>93.699075701777872</v>
      </c>
      <c r="W55" s="151">
        <v>86.38986343601276</v>
      </c>
      <c r="X55">
        <v>40</v>
      </c>
      <c r="Y55" s="151">
        <v>2282.9424682956637</v>
      </c>
      <c r="Z55" s="151">
        <v>1660.1071169725967</v>
      </c>
      <c r="AA55" s="151">
        <v>397.49311101595589</v>
      </c>
      <c r="AB55" s="151">
        <v>157.28930039913919</v>
      </c>
      <c r="AC55" s="151">
        <v>68.052939907972018</v>
      </c>
      <c r="AD55">
        <v>50</v>
      </c>
      <c r="AE55" s="151">
        <v>2432.4055746631352</v>
      </c>
      <c r="AF55" s="151">
        <v>1738.2862644543245</v>
      </c>
      <c r="AG55" s="151">
        <v>444.23751509049737</v>
      </c>
      <c r="AH55" s="151">
        <v>199.26898086660776</v>
      </c>
      <c r="AI55" s="151">
        <v>50.612814251705707</v>
      </c>
      <c r="AJ55">
        <v>60</v>
      </c>
      <c r="AK55" s="151">
        <v>2444.8009694265579</v>
      </c>
      <c r="AL55" s="151">
        <v>1723.2278347986144</v>
      </c>
      <c r="AM55" s="151">
        <v>470.59340177678035</v>
      </c>
      <c r="AN55" s="151">
        <v>215.08545782440231</v>
      </c>
      <c r="AO55" s="151">
        <v>35.894275026760617</v>
      </c>
    </row>
    <row r="56" spans="1:41" x14ac:dyDescent="0.25">
      <c r="A56">
        <v>30</v>
      </c>
      <c r="B56" s="151">
        <v>36</v>
      </c>
      <c r="C56" s="151">
        <v>900</v>
      </c>
      <c r="F56">
        <v>10</v>
      </c>
      <c r="G56" s="151">
        <v>735.75919827907001</v>
      </c>
      <c r="H56" s="151">
        <v>507.3264106538133</v>
      </c>
      <c r="I56" s="151">
        <v>106.31333999061816</v>
      </c>
      <c r="J56" s="151">
        <v>2.9603893915913875</v>
      </c>
      <c r="K56" s="151">
        <v>119.15905824304713</v>
      </c>
      <c r="L56">
        <v>20</v>
      </c>
      <c r="M56" s="151">
        <v>1470.7407999051316</v>
      </c>
      <c r="N56" s="151">
        <v>1087.2925461269704</v>
      </c>
      <c r="O56" s="151">
        <v>234.44679831824439</v>
      </c>
      <c r="P56" s="151">
        <v>32.986607358097245</v>
      </c>
      <c r="Q56" s="151">
        <v>116.01484810181941</v>
      </c>
      <c r="R56">
        <v>30</v>
      </c>
      <c r="S56" s="151">
        <v>1974.9622996590526</v>
      </c>
      <c r="T56" s="151">
        <v>1467.4080183502826</v>
      </c>
      <c r="U56" s="151">
        <v>332.24200216741139</v>
      </c>
      <c r="V56" s="151">
        <v>90.779222569374454</v>
      </c>
      <c r="W56" s="151">
        <v>84.533056571984247</v>
      </c>
      <c r="X56">
        <v>40</v>
      </c>
      <c r="Y56" s="151">
        <v>2249.3168045765624</v>
      </c>
      <c r="Z56" s="151">
        <v>1644.4361982193068</v>
      </c>
      <c r="AA56" s="151">
        <v>395.69823007427317</v>
      </c>
      <c r="AB56" s="151">
        <v>147.65734822349222</v>
      </c>
      <c r="AC56" s="151">
        <v>61.525028059490595</v>
      </c>
      <c r="AD56">
        <v>50</v>
      </c>
      <c r="AE56" s="151">
        <v>2344.7182525414091</v>
      </c>
      <c r="AF56" s="151">
        <v>1684.4765650665781</v>
      </c>
      <c r="AG56" s="151">
        <v>432.81294277681201</v>
      </c>
      <c r="AH56" s="151">
        <v>183.92054123367075</v>
      </c>
      <c r="AI56" s="151">
        <v>43.508203464348185</v>
      </c>
      <c r="AJ56">
        <v>60</v>
      </c>
      <c r="AK56" s="151">
        <v>2328.3748249253467</v>
      </c>
      <c r="AL56" s="151">
        <v>1648.8502984453</v>
      </c>
      <c r="AM56" s="151">
        <v>452.57518435374959</v>
      </c>
      <c r="AN56" s="151">
        <v>196.92745950728542</v>
      </c>
      <c r="AO56" s="151">
        <v>30.021882619011841</v>
      </c>
    </row>
  </sheetData>
  <autoFilter ref="A2:AU56" xr:uid="{67E0CE94-6087-4D30-B4B4-07DB9C15755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06BA-A55A-4F0C-AED4-71E0296A0465}">
  <sheetPr codeName="Sheet4">
    <tabColor rgb="FFFFFF00"/>
  </sheetPr>
  <dimension ref="B2:B16"/>
  <sheetViews>
    <sheetView tabSelected="1" workbookViewId="0"/>
  </sheetViews>
  <sheetFormatPr defaultRowHeight="15" x14ac:dyDescent="0.25"/>
  <sheetData>
    <row r="2" spans="2:2" x14ac:dyDescent="0.25">
      <c r="B2" t="s">
        <v>237</v>
      </c>
    </row>
    <row r="3" spans="2:2" x14ac:dyDescent="0.25">
      <c r="B3" t="s">
        <v>238</v>
      </c>
    </row>
    <row r="4" spans="2:2" x14ac:dyDescent="0.25">
      <c r="B4" t="s">
        <v>239</v>
      </c>
    </row>
    <row r="5" spans="2:2" x14ac:dyDescent="0.25">
      <c r="B5" s="152" t="s">
        <v>240</v>
      </c>
    </row>
    <row r="6" spans="2:2" x14ac:dyDescent="0.25">
      <c r="B6" s="152" t="s">
        <v>241</v>
      </c>
    </row>
    <row r="7" spans="2:2" x14ac:dyDescent="0.25">
      <c r="B7" s="152" t="s">
        <v>242</v>
      </c>
    </row>
    <row r="8" spans="2:2" x14ac:dyDescent="0.25">
      <c r="B8" s="152" t="s">
        <v>243</v>
      </c>
    </row>
    <row r="9" spans="2:2" x14ac:dyDescent="0.25">
      <c r="B9" t="s">
        <v>244</v>
      </c>
    </row>
    <row r="10" spans="2:2" x14ac:dyDescent="0.25">
      <c r="B10" s="152" t="s">
        <v>245</v>
      </c>
    </row>
    <row r="11" spans="2:2" x14ac:dyDescent="0.25">
      <c r="B11" s="152" t="s">
        <v>246</v>
      </c>
    </row>
    <row r="12" spans="2:2" x14ac:dyDescent="0.25">
      <c r="B12" s="152" t="s">
        <v>247</v>
      </c>
    </row>
    <row r="13" spans="2:2" x14ac:dyDescent="0.25">
      <c r="B13" s="152" t="s">
        <v>248</v>
      </c>
    </row>
    <row r="14" spans="2:2" x14ac:dyDescent="0.25">
      <c r="B14" s="152" t="s">
        <v>249</v>
      </c>
    </row>
    <row r="15" spans="2:2" x14ac:dyDescent="0.25">
      <c r="B15" s="152" t="s">
        <v>250</v>
      </c>
    </row>
    <row r="16" spans="2:2" x14ac:dyDescent="0.25">
      <c r="B16"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300 Index</vt:lpstr>
      <vt:lpstr>Inputs</vt:lpstr>
      <vt:lpstr>Starting tree list</vt:lpstr>
      <vt:lpstr>C Change</vt:lpstr>
      <vt:lpstr>Batch runs</vt:lpstr>
      <vt:lpstr>Lists</vt:lpstr>
    </vt:vector>
  </TitlesOfParts>
  <Company>Scion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Dovey</dc:creator>
  <cp:lastModifiedBy>Steven Dovey</cp:lastModifiedBy>
  <dcterms:created xsi:type="dcterms:W3CDTF">2026-03-25T22:44:21Z</dcterms:created>
  <dcterms:modified xsi:type="dcterms:W3CDTF">2026-03-25T22:44:22Z</dcterms:modified>
</cp:coreProperties>
</file>