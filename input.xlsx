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\C Predictor\"/>
    </mc:Choice>
  </mc:AlternateContent>
  <xr:revisionPtr revIDLastSave="0" documentId="13_ncr:1_{F34E3677-8F30-47E5-8D8D-F633872B90F6}" xr6:coauthVersionLast="47" xr6:coauthVersionMax="47" xr10:uidLastSave="{00000000-0000-0000-0000-000000000000}"/>
  <bookViews>
    <workbookView xWindow="-120" yWindow="-120" windowWidth="29040" windowHeight="15720" tabRatio="798" xr2:uid="{6C82EF2E-0E3B-4A97-92BF-F878E0A8E797}"/>
  </bookViews>
  <sheets>
    <sheet name="parameters" sheetId="30" r:id="rId1"/>
    <sheet name="VolTab" sheetId="33" r:id="rId2"/>
    <sheet name="settings" sheetId="34" r:id="rId3"/>
    <sheet name="Lists" sheetId="22" r:id="rId4"/>
  </sheets>
  <definedNames>
    <definedName name="_xlnm._FilterDatabase" localSheetId="0" hidden="1">parameters!$A$1:$E$383</definedName>
    <definedName name="B1_">#REF!</definedName>
    <definedName name="B2_">#REF!</definedName>
    <definedName name="B3_">#REF!</definedName>
    <definedName name="B4_">#REF!</definedName>
    <definedName name="B5_">#REF!</definedName>
    <definedName name="Bc">#REF!</definedName>
    <definedName name="BH">#REF!</definedName>
    <definedName name="DBH">#REF!</definedName>
    <definedName name="EXTREME">#REF!</definedName>
    <definedName name="HT">#REF!</definedName>
    <definedName name="PSPSUM_IN">#REF!</definedName>
    <definedName name="test">#REF!</definedName>
    <definedName name="Z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" i="30" l="1"/>
  <c r="D64" i="30"/>
  <c r="D68" i="30"/>
  <c r="D69" i="30"/>
  <c r="D73" i="30"/>
  <c r="D74" i="30"/>
  <c r="D78" i="30"/>
  <c r="D79" i="30"/>
  <c r="D83" i="30"/>
  <c r="D84" i="30"/>
  <c r="D88" i="30"/>
  <c r="D89" i="30"/>
  <c r="D93" i="30"/>
  <c r="D94" i="30"/>
  <c r="D98" i="30"/>
  <c r="D99" i="30"/>
  <c r="D103" i="30"/>
  <c r="D104" i="30"/>
  <c r="D108" i="30"/>
  <c r="D109" i="30"/>
  <c r="D113" i="30"/>
  <c r="D114" i="30"/>
  <c r="D118" i="30"/>
  <c r="D119" i="30"/>
  <c r="D123" i="30"/>
  <c r="D124" i="30"/>
  <c r="D128" i="30"/>
  <c r="D129" i="30"/>
  <c r="D133" i="30"/>
  <c r="D134" i="30"/>
  <c r="D138" i="30"/>
  <c r="D139" i="30"/>
  <c r="D143" i="30"/>
  <c r="D144" i="30"/>
  <c r="D148" i="30"/>
  <c r="D149" i="30"/>
  <c r="D270" i="30"/>
  <c r="D275" i="30"/>
  <c r="A347" i="30" l="1"/>
  <c r="A348" i="30" s="1"/>
  <c r="A349" i="30" s="1"/>
  <c r="A350" i="30" s="1"/>
  <c r="A351" i="30" s="1"/>
  <c r="A339" i="30"/>
  <c r="A340" i="30" s="1"/>
  <c r="A341" i="30" s="1"/>
  <c r="A342" i="30" s="1"/>
  <c r="A343" i="30" s="1"/>
  <c r="A344" i="30" s="1"/>
  <c r="A3" i="30" l="1"/>
  <c r="A4" i="30" s="1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345" i="30"/>
  <c r="A352" i="30"/>
  <c r="A353" i="30" s="1"/>
  <c r="A109" i="30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4" i="30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323" i="30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57" i="30"/>
  <c r="A358" i="30" s="1"/>
  <c r="A281" i="30"/>
  <c r="A282" i="30" s="1"/>
  <c r="A283" i="30" s="1"/>
  <c r="A284" i="30" s="1"/>
  <c r="A285" i="30" s="1"/>
  <c r="A366" i="30"/>
  <c r="A368" i="30"/>
  <c r="A370" i="30"/>
  <c r="A371" i="30" s="1"/>
  <c r="A355" i="30"/>
  <c r="A199" i="30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363" i="30"/>
  <c r="A364" i="30" s="1"/>
  <c r="A360" i="30"/>
  <c r="A361" i="30" s="1"/>
  <c r="A221" i="30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7" i="30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64" i="30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 Research</author>
    <author>scisup</author>
  </authors>
  <commentList>
    <comment ref="D2" authorId="0" shapeId="0" xr:uid="{7F2A9B28-035F-44FC-8116-973E8F00DE86}">
      <text>
        <r>
          <rPr>
            <b/>
            <sz val="8"/>
            <color indexed="81"/>
            <rFont val="Tahoma"/>
            <family val="2"/>
          </rPr>
          <t>Species currently available are: 
   Blackwood (</t>
        </r>
        <r>
          <rPr>
            <b/>
            <i/>
            <sz val="8"/>
            <color indexed="81"/>
            <rFont val="Tahoma"/>
            <family val="2"/>
          </rPr>
          <t>Acacia melanoxylon</t>
        </r>
        <r>
          <rPr>
            <b/>
            <sz val="8"/>
            <color indexed="81"/>
            <rFont val="Tahoma"/>
            <family val="2"/>
          </rPr>
          <t>)
   Coast redwood (</t>
        </r>
        <r>
          <rPr>
            <b/>
            <i/>
            <sz val="8"/>
            <color indexed="81"/>
            <rFont val="Tahoma"/>
            <family val="2"/>
          </rPr>
          <t>Sequoia sempervirens</t>
        </r>
        <r>
          <rPr>
            <b/>
            <sz val="8"/>
            <color indexed="81"/>
            <rFont val="Tahoma"/>
            <family val="2"/>
          </rPr>
          <t xml:space="preserve">)
   </t>
        </r>
        <r>
          <rPr>
            <b/>
            <i/>
            <sz val="8"/>
            <color indexed="81"/>
            <rFont val="Tahoma"/>
            <family val="2"/>
          </rPr>
          <t>Cupressus macrocarpa</t>
        </r>
        <r>
          <rPr>
            <b/>
            <sz val="8"/>
            <color indexed="81"/>
            <rFont val="Tahoma"/>
            <family val="2"/>
          </rPr>
          <t xml:space="preserve"> (North Island)</t>
        </r>
        <r>
          <rPr>
            <b/>
            <i/>
            <sz val="8"/>
            <color indexed="81"/>
            <rFont val="Tahoma"/>
            <family val="2"/>
          </rPr>
          <t xml:space="preserve">
   Cupressus macrocarpa </t>
        </r>
        <r>
          <rPr>
            <b/>
            <sz val="8"/>
            <color indexed="81"/>
            <rFont val="Tahoma"/>
            <family val="2"/>
          </rPr>
          <t xml:space="preserve">(SouthIsland)
   </t>
        </r>
        <r>
          <rPr>
            <b/>
            <i/>
            <sz val="8"/>
            <color indexed="81"/>
            <rFont val="Tahoma"/>
            <family val="2"/>
          </rPr>
          <t>Cupressus lusitanica</t>
        </r>
        <r>
          <rPr>
            <b/>
            <sz val="8"/>
            <color indexed="81"/>
            <rFont val="Tahoma"/>
            <family val="2"/>
          </rPr>
          <t xml:space="preserve"> (North Island)</t>
        </r>
        <r>
          <rPr>
            <b/>
            <i/>
            <sz val="8"/>
            <color indexed="81"/>
            <rFont val="Tahoma"/>
            <family val="2"/>
          </rPr>
          <t xml:space="preserve">
   Cupressus lusitanica </t>
        </r>
        <r>
          <rPr>
            <b/>
            <sz val="8"/>
            <color indexed="81"/>
            <rFont val="Tahoma"/>
            <family val="2"/>
          </rPr>
          <t xml:space="preserve">(South Island)
   Douglas-fir </t>
        </r>
        <r>
          <rPr>
            <b/>
            <i/>
            <sz val="8"/>
            <color indexed="81"/>
            <rFont val="Tahoma"/>
            <family val="2"/>
          </rPr>
          <t>(Pseudotsuga menziesii</t>
        </r>
        <r>
          <rPr>
            <b/>
            <sz val="8"/>
            <color indexed="81"/>
            <rFont val="Tahoma"/>
            <family val="2"/>
          </rPr>
          <t xml:space="preserve">)
   </t>
        </r>
        <r>
          <rPr>
            <b/>
            <i/>
            <sz val="8"/>
            <color indexed="81"/>
            <rFont val="Tahoma"/>
            <family val="2"/>
          </rPr>
          <t>Eucalyptus regnans
   Eucalyptus fastgata
   Eucalyptus nitens</t>
        </r>
        <r>
          <rPr>
            <b/>
            <sz val="8"/>
            <color indexed="81"/>
            <rFont val="Tahoma"/>
            <family val="2"/>
          </rPr>
          <t xml:space="preserve"> (North Island)
   </t>
        </r>
        <r>
          <rPr>
            <b/>
            <i/>
            <sz val="8"/>
            <color indexed="81"/>
            <rFont val="Tahoma"/>
            <family val="2"/>
          </rPr>
          <t>Eucalyptus nitens</t>
        </r>
        <r>
          <rPr>
            <b/>
            <sz val="8"/>
            <color indexed="81"/>
            <rFont val="Tahoma"/>
            <family val="2"/>
          </rPr>
          <t xml:space="preserve"> (South Island)
   </t>
        </r>
        <r>
          <rPr>
            <b/>
            <i/>
            <sz val="8"/>
            <color indexed="81"/>
            <rFont val="Tahoma"/>
            <family val="2"/>
          </rPr>
          <t>Eucalyptus delegatensis
   Eucalyptus saligna</t>
        </r>
        <r>
          <rPr>
            <i/>
            <sz val="8"/>
            <color indexed="81"/>
            <rFont val="Tahoma"/>
            <family val="2"/>
          </rPr>
          <t xml:space="preserve">
  </t>
        </r>
        <r>
          <rPr>
            <b/>
            <sz val="8"/>
            <color indexed="81"/>
            <rFont val="Tahoma"/>
            <family val="2"/>
          </rPr>
          <t>Radiata pine (</t>
        </r>
        <r>
          <rPr>
            <b/>
            <i/>
            <sz val="8"/>
            <color indexed="81"/>
            <rFont val="Tahoma"/>
            <family val="2"/>
          </rPr>
          <t>Pinus radiata</t>
        </r>
        <r>
          <rPr>
            <b/>
            <sz val="8"/>
            <color indexed="81"/>
            <rFont val="Tahoma"/>
            <family val="2"/>
          </rPr>
          <t xml:space="preserve">)
Note that the cypresses and </t>
        </r>
        <r>
          <rPr>
            <b/>
            <i/>
            <sz val="8"/>
            <color indexed="81"/>
            <rFont val="Tahoma"/>
            <family val="2"/>
          </rPr>
          <t>E. nitens</t>
        </r>
        <r>
          <rPr>
            <b/>
            <sz val="8"/>
            <color indexed="81"/>
            <rFont val="Tahoma"/>
            <family val="2"/>
          </rPr>
          <t xml:space="preserve"> have different models for the North and South Islands.</t>
        </r>
      </text>
    </comment>
    <comment ref="D29" authorId="1" shapeId="0" xr:uid="{177914CE-38CA-486C-99C0-B2AFE19193C5}">
      <text>
        <r>
          <rPr>
            <b/>
            <sz val="16"/>
            <color indexed="81"/>
            <rFont val="Tahoma"/>
            <family val="2"/>
          </rPr>
          <t>1: Standard mode: Use calibration meaurement if available to estimate productivity indices. Otherwise use specified productivity indices.
2. Offset mode: Uses specified productivity indices but apply offsets to ensure that MTH and BA are consistent with calibration measurement.
3. Index mode: Ignore calibration measurement and use specified productivity indices.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 Research</author>
  </authors>
  <commentList>
    <comment ref="H1" authorId="0" shapeId="0" xr:uid="{9A3F6473-D350-430D-BD33-E8779D951F3C}">
      <text>
        <r>
          <rPr>
            <b/>
            <sz val="8"/>
            <color indexed="81"/>
            <rFont val="Tahoma"/>
            <family val="2"/>
          </rPr>
          <t>300-Index: The mean annual volume increment (m3/ha/yr) of a stand that is thinned at an early age to achieve a stocking of 300 stems/ha when grown to age 30 years. This index is a key component of the growth model and can be estimated from measurement data. 
The Douglas-fir growth model uses a different productivity index, the 500 Index, defined as the mean annual increment at age 40 years of a stand planted at 1650 stems/ha, and thinned at 15m MTH to 500 stems/ha.</t>
        </r>
      </text>
    </comment>
    <comment ref="H2" authorId="0" shapeId="0" xr:uid="{A25EF166-4B43-4231-BFAB-BA1280B688CB}">
      <text>
        <r>
          <rPr>
            <b/>
            <sz val="8"/>
            <color indexed="81"/>
            <rFont val="Tahoma"/>
            <family val="2"/>
          </rPr>
          <t xml:space="preserve">Site Index: The mean top height in metres (height of the largest 100 diameter trees/ha) at base age 30 years (20 years for radiata pine and 40 years for Douglas-fir). This index is a key component of the growth model, and may be estimated from measurement data. 
</t>
        </r>
      </text>
    </comment>
    <comment ref="H13" authorId="0" shapeId="0" xr:uid="{FCF22532-58A3-4B48-8E55-E035A99F458A}">
      <text>
        <r>
          <rPr>
            <b/>
            <sz val="8"/>
            <color indexed="81"/>
            <rFont val="Tahoma"/>
            <family val="2"/>
          </rPr>
          <t>Post-establishment stocking (stems/ha): The number of trees planted/ha reduced if necessary to account for the mortality that often occurs soon after planting as trees are establishing.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<sst xmlns="http://schemas.openxmlformats.org/spreadsheetml/2006/main" count="1122" uniqueCount="695">
  <si>
    <t>Species</t>
  </si>
  <si>
    <t>Age</t>
  </si>
  <si>
    <t>Type</t>
  </si>
  <si>
    <t>Mode</t>
  </si>
  <si>
    <t>BA</t>
  </si>
  <si>
    <t>DBH</t>
  </si>
  <si>
    <t>SI</t>
  </si>
  <si>
    <t>300-index</t>
  </si>
  <si>
    <t>Site index (m)</t>
  </si>
  <si>
    <t>Thin</t>
  </si>
  <si>
    <t>Vol</t>
  </si>
  <si>
    <t>Post-establishment stocking (stems/ha)</t>
  </si>
  <si>
    <t>Blackwood</t>
  </si>
  <si>
    <t>Radiata pine</t>
  </si>
  <si>
    <t>MTH</t>
  </si>
  <si>
    <t>Latitude</t>
  </si>
  <si>
    <t>Altitude</t>
  </si>
  <si>
    <t>Sph</t>
  </si>
  <si>
    <t>Fell age</t>
  </si>
  <si>
    <t>Step length</t>
  </si>
  <si>
    <t>2007 Model</t>
  </si>
  <si>
    <t>x</t>
  </si>
  <si>
    <t>Old</t>
  </si>
  <si>
    <t>2006 Model</t>
  </si>
  <si>
    <t>Young</t>
  </si>
  <si>
    <t>Direct sawlog V182</t>
  </si>
  <si>
    <t>Woodhill V236</t>
  </si>
  <si>
    <t>Otago/Sthld V328</t>
  </si>
  <si>
    <t>Kaingaroa V358</t>
  </si>
  <si>
    <t>Northland V11</t>
  </si>
  <si>
    <t>V430</t>
  </si>
  <si>
    <t>NZ 3-point taper</t>
  </si>
  <si>
    <t>NSW 1</t>
  </si>
  <si>
    <t>NSW 2</t>
  </si>
  <si>
    <t>Drift</t>
  </si>
  <si>
    <t>NSW</t>
  </si>
  <si>
    <t>NZ</t>
  </si>
  <si>
    <t>Add</t>
  </si>
  <si>
    <t>NZ 2004 model</t>
  </si>
  <si>
    <t>Mult</t>
  </si>
  <si>
    <t>NZ simple model</t>
  </si>
  <si>
    <t>NZ 2006 model</t>
  </si>
  <si>
    <t>NZ 2007 model</t>
  </si>
  <si>
    <t>Soil C</t>
  </si>
  <si>
    <t>Soil N</t>
  </si>
  <si>
    <t>MATemp</t>
  </si>
  <si>
    <t>Out Dens</t>
  </si>
  <si>
    <t>Out Age</t>
  </si>
  <si>
    <t>Inner ring</t>
  </si>
  <si>
    <t>Outer ring</t>
  </si>
  <si>
    <t>Genetic adjustment</t>
  </si>
  <si>
    <t>Model</t>
  </si>
  <si>
    <t>Douglas-fir</t>
  </si>
  <si>
    <t>da1</t>
  </si>
  <si>
    <t>db1</t>
  </si>
  <si>
    <t>dr</t>
  </si>
  <si>
    <t>dl</t>
  </si>
  <si>
    <t>dc</t>
  </si>
  <si>
    <t>dbSI</t>
  </si>
  <si>
    <t>dn</t>
  </si>
  <si>
    <t>dm</t>
  </si>
  <si>
    <t>dbdia</t>
  </si>
  <si>
    <t>Ds</t>
  </si>
  <si>
    <t>dbsidia</t>
  </si>
  <si>
    <t>drsi</t>
  </si>
  <si>
    <t>dr2</t>
  </si>
  <si>
    <t>pra</t>
  </si>
  <si>
    <t>prb</t>
  </si>
  <si>
    <t>prc</t>
  </si>
  <si>
    <t>ha0</t>
  </si>
  <si>
    <t>ha1</t>
  </si>
  <si>
    <t>hb0</t>
  </si>
  <si>
    <t>hb1</t>
  </si>
  <si>
    <t>hae0</t>
  </si>
  <si>
    <t>hae1</t>
  </si>
  <si>
    <t>hae2</t>
  </si>
  <si>
    <t>hbe0</t>
  </si>
  <si>
    <t>hbe1</t>
  </si>
  <si>
    <t>hNSWa</t>
  </si>
  <si>
    <t>hNSWb</t>
  </si>
  <si>
    <t>hNSWp</t>
  </si>
  <si>
    <t>thb</t>
  </si>
  <si>
    <t>thc</t>
  </si>
  <si>
    <t>mortd</t>
  </si>
  <si>
    <t>tha</t>
  </si>
  <si>
    <t>db2</t>
  </si>
  <si>
    <t>thincoeff</t>
  </si>
  <si>
    <t>mortc</t>
  </si>
  <si>
    <t>morte</t>
  </si>
  <si>
    <t>mortNSW</t>
  </si>
  <si>
    <t>morta</t>
  </si>
  <si>
    <t>mortb</t>
  </si>
  <si>
    <t>mortp</t>
  </si>
  <si>
    <t>mortq</t>
  </si>
  <si>
    <t>morts</t>
  </si>
  <si>
    <t>mortt</t>
  </si>
  <si>
    <t>mortu</t>
  </si>
  <si>
    <t>mortv</t>
  </si>
  <si>
    <t>mortw</t>
  </si>
  <si>
    <t>mortx</t>
  </si>
  <si>
    <t>morty</t>
  </si>
  <si>
    <t>morta1</t>
  </si>
  <si>
    <t>mortb1</t>
  </si>
  <si>
    <t>mortc1</t>
  </si>
  <si>
    <t>mortd1</t>
  </si>
  <si>
    <t>morte1</t>
  </si>
  <si>
    <t>mortf1</t>
  </si>
  <si>
    <t>mort2007_a</t>
  </si>
  <si>
    <t>mort2007_b</t>
  </si>
  <si>
    <t>mort2007_c</t>
  </si>
  <si>
    <t>mort2007_d</t>
  </si>
  <si>
    <t>mort2007_f</t>
  </si>
  <si>
    <t>mort2007_g</t>
  </si>
  <si>
    <t>mort2007_h</t>
  </si>
  <si>
    <t>#182</t>
  </si>
  <si>
    <t>#236</t>
  </si>
  <si>
    <t>#328</t>
  </si>
  <si>
    <t>#358</t>
  </si>
  <si>
    <t>#11</t>
  </si>
  <si>
    <t>#430</t>
  </si>
  <si>
    <t>#3-point-taper</t>
  </si>
  <si>
    <t>#NSW1</t>
  </si>
  <si>
    <t>#NSW2</t>
  </si>
  <si>
    <t>MTH_model_red</t>
  </si>
  <si>
    <t>Korf</t>
  </si>
  <si>
    <t>MTH_form_red</t>
  </si>
  <si>
    <t>GADA</t>
  </si>
  <si>
    <t>MTH_a_red</t>
  </si>
  <si>
    <t>MTH_b_red</t>
  </si>
  <si>
    <t>MTH_c_red</t>
  </si>
  <si>
    <t>MTH_model_lus</t>
  </si>
  <si>
    <t>Richards</t>
  </si>
  <si>
    <t>MTH_form_lus</t>
  </si>
  <si>
    <t>CA</t>
  </si>
  <si>
    <t>MTH_a_lus</t>
  </si>
  <si>
    <t>MTH_b_lus</t>
  </si>
  <si>
    <t>MTH_c_lus</t>
  </si>
  <si>
    <t>MTH_model_mac</t>
  </si>
  <si>
    <t>MTH_form_mac</t>
  </si>
  <si>
    <t>MTH_a_mac</t>
  </si>
  <si>
    <t>MTH_b_mac</t>
  </si>
  <si>
    <t>MTH_c_mac</t>
  </si>
  <si>
    <t>MTH_model_bla</t>
  </si>
  <si>
    <t>MTH_form_bla</t>
  </si>
  <si>
    <t>Anamorphic</t>
  </si>
  <si>
    <t>MTH_a_bla</t>
  </si>
  <si>
    <t>MTH_b_bla</t>
  </si>
  <si>
    <t>MTH_c_bla</t>
  </si>
  <si>
    <t>MTH_model_reg</t>
  </si>
  <si>
    <t>MTH_form_reg</t>
  </si>
  <si>
    <t>MTH_a_reg</t>
  </si>
  <si>
    <t>MTH_b_reg</t>
  </si>
  <si>
    <t>MTH_c_reg</t>
  </si>
  <si>
    <t>MTH_model_fas</t>
  </si>
  <si>
    <t>Hossfeld</t>
  </si>
  <si>
    <t>MTH_form_fas</t>
  </si>
  <si>
    <t>MTH_a_fas</t>
  </si>
  <si>
    <t>MTH_b_fas</t>
  </si>
  <si>
    <t>MTH_c_fas</t>
  </si>
  <si>
    <t>MTH_model_nit</t>
  </si>
  <si>
    <t>MTH_form_nit</t>
  </si>
  <si>
    <t>MTH_a_nit</t>
  </si>
  <si>
    <t>MTH_b_nit</t>
  </si>
  <si>
    <t>MTH_c_nit</t>
  </si>
  <si>
    <t>MTH_model_del</t>
  </si>
  <si>
    <t>MTH_form_del</t>
  </si>
  <si>
    <t>MTH_a_del</t>
  </si>
  <si>
    <t>MTH_b_del</t>
  </si>
  <si>
    <t>MTH_c_del</t>
  </si>
  <si>
    <t>MTH_model_sal</t>
  </si>
  <si>
    <t>MTH_form_sal</t>
  </si>
  <si>
    <t>MTH_a_sal</t>
  </si>
  <si>
    <t>MTH_b_sal</t>
  </si>
  <si>
    <t>MTH_c_sal</t>
  </si>
  <si>
    <t>DBH_model_red</t>
  </si>
  <si>
    <t>DBH_form_red</t>
  </si>
  <si>
    <t>DBH_a_red</t>
  </si>
  <si>
    <t>DBH_b_red</t>
  </si>
  <si>
    <t>DBH_c_red</t>
  </si>
  <si>
    <t>DBH_model_lus</t>
  </si>
  <si>
    <t>DBH_form_lus</t>
  </si>
  <si>
    <t>DBH_a_lus</t>
  </si>
  <si>
    <t>DBH_b_lus</t>
  </si>
  <si>
    <t>DBH_c_lus</t>
  </si>
  <si>
    <t>DBH_model_mac</t>
  </si>
  <si>
    <t>DBH_form_mac</t>
  </si>
  <si>
    <t>DBH_a_mac</t>
  </si>
  <si>
    <t>DBH_b_mac</t>
  </si>
  <si>
    <t>DBH_c_mac</t>
  </si>
  <si>
    <t>DBH_model_bla</t>
  </si>
  <si>
    <t>DBH_form_bla</t>
  </si>
  <si>
    <t>DBH_a_bla</t>
  </si>
  <si>
    <t>DBH_b_bla</t>
  </si>
  <si>
    <t>DBH_c_bla</t>
  </si>
  <si>
    <t>DBH_model_reg</t>
  </si>
  <si>
    <t>DBH_form_reg</t>
  </si>
  <si>
    <t>DBH_a_reg</t>
  </si>
  <si>
    <t>DBH_b_reg</t>
  </si>
  <si>
    <t>DBH_c_reg</t>
  </si>
  <si>
    <t>DBH_model_fas</t>
  </si>
  <si>
    <t>DBH_form_fas</t>
  </si>
  <si>
    <t>DBH_a_fas</t>
  </si>
  <si>
    <t>DBH_b_fas</t>
  </si>
  <si>
    <t>DBH_c_fas</t>
  </si>
  <si>
    <t>DBH_model_nit</t>
  </si>
  <si>
    <t>DBH_form_nit</t>
  </si>
  <si>
    <t>DBH_a_nit</t>
  </si>
  <si>
    <t>DBH_b_nit</t>
  </si>
  <si>
    <t>DBH_c_nit</t>
  </si>
  <si>
    <t>DBH_model_del</t>
  </si>
  <si>
    <t>DBH_form_del</t>
  </si>
  <si>
    <t>DBH_a_del</t>
  </si>
  <si>
    <t>DBH_b_del</t>
  </si>
  <si>
    <t>DBH_c_del</t>
  </si>
  <si>
    <t>DBH_model_sal</t>
  </si>
  <si>
    <t>DBH_form_sal</t>
  </si>
  <si>
    <t>DBH_a_sal</t>
  </si>
  <si>
    <t>DBH_b_sal</t>
  </si>
  <si>
    <t>DBH_c_sal</t>
  </si>
  <si>
    <t>DBH_d_red</t>
  </si>
  <si>
    <t>DBH_f_red</t>
  </si>
  <si>
    <t>DBH_g_red</t>
  </si>
  <si>
    <t>DBH_h_red</t>
  </si>
  <si>
    <t>DBH_k_red</t>
  </si>
  <si>
    <t>DBH_d_lus</t>
  </si>
  <si>
    <t>DBH_f_lus</t>
  </si>
  <si>
    <t>DBH_g_lus</t>
  </si>
  <si>
    <t>DBH_h_lus</t>
  </si>
  <si>
    <t>DBH_k_lus</t>
  </si>
  <si>
    <t>DBH_d_mac</t>
  </si>
  <si>
    <t>DBH_f_mac</t>
  </si>
  <si>
    <t>DBH_g_mac</t>
  </si>
  <si>
    <t>DBH_h_mac</t>
  </si>
  <si>
    <t>DBH_k_mac</t>
  </si>
  <si>
    <t>DBH_d_bla</t>
  </si>
  <si>
    <t>DBH_f_bla</t>
  </si>
  <si>
    <t>DBH_g_bla</t>
  </si>
  <si>
    <t>DBH_h_bla</t>
  </si>
  <si>
    <t>DBH_k_bla</t>
  </si>
  <si>
    <t>DBH_d_reg</t>
  </si>
  <si>
    <t>DBH_f_reg</t>
  </si>
  <si>
    <t>DBH_g_reg</t>
  </si>
  <si>
    <t>DBH_h_reg</t>
  </si>
  <si>
    <t>DBH_k_reg</t>
  </si>
  <si>
    <t>DBH_d_fas</t>
  </si>
  <si>
    <t>DBH_f_fas</t>
  </si>
  <si>
    <t>DBH_g_fas</t>
  </si>
  <si>
    <t>DBH_h_fas</t>
  </si>
  <si>
    <t>DBH_k_fas</t>
  </si>
  <si>
    <t>DBH_d_nit</t>
  </si>
  <si>
    <t>DBH_f_nit</t>
  </si>
  <si>
    <t>DBH_g_nit</t>
  </si>
  <si>
    <t>DBH_h_nit</t>
  </si>
  <si>
    <t>DBH_k_nit</t>
  </si>
  <si>
    <t>DBH_d_del</t>
  </si>
  <si>
    <t>DBH_f_del</t>
  </si>
  <si>
    <t>DBH_g_del</t>
  </si>
  <si>
    <t>DBH_h_del</t>
  </si>
  <si>
    <t>DBH_k_del</t>
  </si>
  <si>
    <t>DBH_d_sal</t>
  </si>
  <si>
    <t>DBH_f_sal</t>
  </si>
  <si>
    <t>DBH_g_sal</t>
  </si>
  <si>
    <t>DBH_h_sal</t>
  </si>
  <si>
    <t>DBH_k_sal</t>
  </si>
  <si>
    <t>MTH_MnHt_a_red</t>
  </si>
  <si>
    <t>MTH_MnHt_b_red</t>
  </si>
  <si>
    <t>MTH_MnHt_a_lus</t>
  </si>
  <si>
    <t>MTH_MnHt_b_lus</t>
  </si>
  <si>
    <t>MTH_MnHt_a_mac</t>
  </si>
  <si>
    <t>MTH_MnHt_b_mac</t>
  </si>
  <si>
    <t>MTH_MnHt_a_bla</t>
  </si>
  <si>
    <t>MTH_MnHt_b_bla</t>
  </si>
  <si>
    <t>MTH_MnHt_a_reg</t>
  </si>
  <si>
    <t>MTH_MnHt_b_reg</t>
  </si>
  <si>
    <t>MTH_MnHt_a_fas</t>
  </si>
  <si>
    <t>MTH_MnHt_b_fas</t>
  </si>
  <si>
    <t>MTH_MnHt_a_nit</t>
  </si>
  <si>
    <t>MTH_MnHt_b_nit</t>
  </si>
  <si>
    <t>MTH_MnHt_a_del</t>
  </si>
  <si>
    <t>MTH_MnHt_b_del</t>
  </si>
  <si>
    <t>MTH_MnHt_a_sal</t>
  </si>
  <si>
    <t>MTH_MnHt_b_sal</t>
  </si>
  <si>
    <t>MTH_MnHt_a_rad</t>
  </si>
  <si>
    <t>MTH_MnHt_b_rad</t>
  </si>
  <si>
    <t>MTH_MnHt_a_dfr</t>
  </si>
  <si>
    <t>MTH_MnHt_b_dfr</t>
  </si>
  <si>
    <t>VOL_type_red1</t>
  </si>
  <si>
    <t>VOL_u_red1</t>
  </si>
  <si>
    <t>VOL_v_red1</t>
  </si>
  <si>
    <t>VOL_w_red1</t>
  </si>
  <si>
    <t>VOL_z_red1</t>
  </si>
  <si>
    <t>VOL_type_red2</t>
  </si>
  <si>
    <t>VOL_u_red2</t>
  </si>
  <si>
    <t>VOL_v_red2</t>
  </si>
  <si>
    <t>VOL_w_red2</t>
  </si>
  <si>
    <t>VOL_z_red2</t>
  </si>
  <si>
    <t>VOL_type_lus</t>
  </si>
  <si>
    <t>VOL_u_lus</t>
  </si>
  <si>
    <t>VOL_v_lus</t>
  </si>
  <si>
    <t>VOL_w_lus</t>
  </si>
  <si>
    <t>VOL_z_lus</t>
  </si>
  <si>
    <t>VOL_type_mac</t>
  </si>
  <si>
    <t>VOL_u_mac</t>
  </si>
  <si>
    <t>VOL_v_mac</t>
  </si>
  <si>
    <t>VOL_w_mac</t>
  </si>
  <si>
    <t>VOL_z_mac</t>
  </si>
  <si>
    <t>VOL_type_bla</t>
  </si>
  <si>
    <t>VOL_u_bla</t>
  </si>
  <si>
    <t>VOL_v_bla</t>
  </si>
  <si>
    <t>VOL_w_bla</t>
  </si>
  <si>
    <t>VOL_z_bla</t>
  </si>
  <si>
    <t>VOL_type_reg</t>
  </si>
  <si>
    <t>VOL_u_reg</t>
  </si>
  <si>
    <t>VOL_v_reg</t>
  </si>
  <si>
    <t>VOL_w_reg</t>
  </si>
  <si>
    <t>VOL_z_reg</t>
  </si>
  <si>
    <t>VOL_type_fas</t>
  </si>
  <si>
    <t>VOL_u_fas</t>
  </si>
  <si>
    <t>VOL_v_fas</t>
  </si>
  <si>
    <t>VOL_w_fas</t>
  </si>
  <si>
    <t>VOL_z_fas</t>
  </si>
  <si>
    <t>VOL_type_nit</t>
  </si>
  <si>
    <t>VOL_u_nit</t>
  </si>
  <si>
    <t>VOL_v_nit</t>
  </si>
  <si>
    <t>VOL_w_nit</t>
  </si>
  <si>
    <t>VOL_z_nit</t>
  </si>
  <si>
    <t>VOL_type_del</t>
  </si>
  <si>
    <t>VOL_u_del</t>
  </si>
  <si>
    <t>VOL_v_del</t>
  </si>
  <si>
    <t>VOL_w_del</t>
  </si>
  <si>
    <t>VOL_z_del</t>
  </si>
  <si>
    <t>VOL_type_sal</t>
  </si>
  <si>
    <t>VOL_u_sal</t>
  </si>
  <si>
    <t>VOL_v_sal</t>
  </si>
  <si>
    <t>VOL_w_sal</t>
  </si>
  <si>
    <t>VOL_z_sal</t>
  </si>
  <si>
    <t>VOL_type_rad</t>
  </si>
  <si>
    <t>VOL_u_rad</t>
  </si>
  <si>
    <t>VOL_v_rad</t>
  </si>
  <si>
    <t>VOL_w_rad</t>
  </si>
  <si>
    <t>VOL_z_rad</t>
  </si>
  <si>
    <t>VOL_type_dfr</t>
  </si>
  <si>
    <t>VOL_u_dfr</t>
  </si>
  <si>
    <t>VOL_v_dfr</t>
  </si>
  <si>
    <t>VOL_w_dfr</t>
  </si>
  <si>
    <t>VOL_z_dfr</t>
  </si>
  <si>
    <t>THINCOEF_red</t>
  </si>
  <si>
    <t>THINCOEF_cyp</t>
  </si>
  <si>
    <t>THINCOEF_bla</t>
  </si>
  <si>
    <t>THINCOEF_euc</t>
  </si>
  <si>
    <t>THINCOEF_rad</t>
  </si>
  <si>
    <t>THINCOEF_dfr</t>
  </si>
  <si>
    <t>MORT_k_red</t>
  </si>
  <si>
    <t>MORT_m_red</t>
  </si>
  <si>
    <t>MORT_n_red</t>
  </si>
  <si>
    <t>MORT_k_lus_NI</t>
  </si>
  <si>
    <t>MORT_m_lus_NI</t>
  </si>
  <si>
    <t>MORT_n_lus_NI</t>
  </si>
  <si>
    <t>MORT_k_lus_SI</t>
  </si>
  <si>
    <t>MORT_m_lus_SI</t>
  </si>
  <si>
    <t>MORT_n_lus_SI</t>
  </si>
  <si>
    <t>MORT_k_mac_NI</t>
  </si>
  <si>
    <t>MORT_m_mac_NI</t>
  </si>
  <si>
    <t>MORT_n_mac_NI</t>
  </si>
  <si>
    <t>MORT_k_mac_SI</t>
  </si>
  <si>
    <t>MORT_m_mac_SI</t>
  </si>
  <si>
    <t>MORT_n_mac_SI</t>
  </si>
  <si>
    <t>MORT_k_bla</t>
  </si>
  <si>
    <t>MORT_m_bla</t>
  </si>
  <si>
    <t>MORT_n_bla</t>
  </si>
  <si>
    <t>MORT_k_reg</t>
  </si>
  <si>
    <t>MORT_m_reg</t>
  </si>
  <si>
    <t>MORT_n_reg</t>
  </si>
  <si>
    <t>MORT_k_fas</t>
  </si>
  <si>
    <t>MORT_m_fas</t>
  </si>
  <si>
    <t>MORT_n_fas</t>
  </si>
  <si>
    <t>MORT_k_nit_NI</t>
  </si>
  <si>
    <t>MORT_m_nit_NI</t>
  </si>
  <si>
    <t>MORT_n_nit_NI</t>
  </si>
  <si>
    <t>MORT_k_nit_SI</t>
  </si>
  <si>
    <t>MORT_m_nit_SI</t>
  </si>
  <si>
    <t>MORT_n_nit_SI</t>
  </si>
  <si>
    <t>MORT_k_del</t>
  </si>
  <si>
    <t>MORT_m_del</t>
  </si>
  <si>
    <t>MORT_n_del</t>
  </si>
  <si>
    <t>MORT_k_sal</t>
  </si>
  <si>
    <t>MORT_m_sal</t>
  </si>
  <si>
    <t>MORT_n_sal</t>
  </si>
  <si>
    <t>DEN_a_red</t>
  </si>
  <si>
    <t>DEN_b_red</t>
  </si>
  <si>
    <t>DEN_a_cyp</t>
  </si>
  <si>
    <t>DEN_b_cyp</t>
  </si>
  <si>
    <t>DEN_a_bla</t>
  </si>
  <si>
    <t>DEN_b_bla</t>
  </si>
  <si>
    <t>DEN_a_reg</t>
  </si>
  <si>
    <t>DEN_b_reg</t>
  </si>
  <si>
    <t>DEN_a_fas</t>
  </si>
  <si>
    <t>DEN_b_fas</t>
  </si>
  <si>
    <t>DEN_a_nit</t>
  </si>
  <si>
    <t>DEN_b_nit</t>
  </si>
  <si>
    <t>DEN_a_del</t>
  </si>
  <si>
    <t>DEN_b_del</t>
  </si>
  <si>
    <t>DEN_a_sal</t>
  </si>
  <si>
    <t>DEN_b_sal</t>
  </si>
  <si>
    <t xml:space="preserve">alpha1_458 </t>
  </si>
  <si>
    <t xml:space="preserve">alpha2_458 </t>
  </si>
  <si>
    <t xml:space="preserve">beta1_458 </t>
  </si>
  <si>
    <t xml:space="preserve">beta2_458 </t>
  </si>
  <si>
    <t xml:space="preserve">beta3_458 </t>
  </si>
  <si>
    <t xml:space="preserve">beta4_458 </t>
  </si>
  <si>
    <t xml:space="preserve">beta5_458 </t>
  </si>
  <si>
    <t xml:space="preserve">alpha1_472 </t>
  </si>
  <si>
    <t xml:space="preserve">alpha2_472 </t>
  </si>
  <si>
    <t xml:space="preserve">beta1_472 </t>
  </si>
  <si>
    <t xml:space="preserve">beta2_472 </t>
  </si>
  <si>
    <t xml:space="preserve">beta3_472 </t>
  </si>
  <si>
    <t xml:space="preserve">beta4_472 </t>
  </si>
  <si>
    <t xml:space="preserve">beta5_472 </t>
  </si>
  <si>
    <t xml:space="preserve">Public PI </t>
  </si>
  <si>
    <t xml:space="preserve">uba2 </t>
  </si>
  <si>
    <t xml:space="preserve">uba3 </t>
  </si>
  <si>
    <t xml:space="preserve">vv472 </t>
  </si>
  <si>
    <t xml:space="preserve">wv472 </t>
  </si>
  <si>
    <t xml:space="preserve">vvCYP </t>
  </si>
  <si>
    <t xml:space="preserve">wvCYP </t>
  </si>
  <si>
    <t xml:space="preserve">scRED </t>
  </si>
  <si>
    <t xml:space="preserve">scCYP </t>
  </si>
  <si>
    <t xml:space="preserve">qch </t>
  </si>
  <si>
    <t xml:space="preserve">rch </t>
  </si>
  <si>
    <t>cyp</t>
  </si>
  <si>
    <t>red</t>
  </si>
  <si>
    <t>lus</t>
  </si>
  <si>
    <t>mac</t>
  </si>
  <si>
    <t>bla</t>
  </si>
  <si>
    <t>reg</t>
  </si>
  <si>
    <t>fas</t>
  </si>
  <si>
    <t>nit</t>
  </si>
  <si>
    <t>del</t>
  </si>
  <si>
    <t>sal</t>
  </si>
  <si>
    <t>rad</t>
  </si>
  <si>
    <t>dfr</t>
  </si>
  <si>
    <t>ed1</t>
  </si>
  <si>
    <t>ed2</t>
  </si>
  <si>
    <t>euc</t>
  </si>
  <si>
    <t>NI</t>
  </si>
  <si>
    <t>generic</t>
  </si>
  <si>
    <t>Plot</t>
  </si>
  <si>
    <t>300i</t>
  </si>
  <si>
    <t>name</t>
  </si>
  <si>
    <t>value</t>
  </si>
  <si>
    <t>Year</t>
  </si>
  <si>
    <t>Lat</t>
  </si>
  <si>
    <t>Elev</t>
  </si>
  <si>
    <t>Needl</t>
  </si>
  <si>
    <t>SoilC</t>
  </si>
  <si>
    <t>SoilN</t>
  </si>
  <si>
    <t>SoilP</t>
  </si>
  <si>
    <t>Surv</t>
  </si>
  <si>
    <t>MAT</t>
  </si>
  <si>
    <t>mDens</t>
  </si>
  <si>
    <t>otrPB</t>
  </si>
  <si>
    <t>inrng</t>
  </si>
  <si>
    <t>otrng</t>
  </si>
  <si>
    <t>300iD</t>
  </si>
  <si>
    <t>mortA</t>
  </si>
  <si>
    <t>multm</t>
  </si>
  <si>
    <t>iDmNL</t>
  </si>
  <si>
    <t>iDmBL</t>
  </si>
  <si>
    <t>iDmSL</t>
  </si>
  <si>
    <t>iDmCRL</t>
  </si>
  <si>
    <t>iDmFRL</t>
  </si>
  <si>
    <t>iNNL</t>
  </si>
  <si>
    <t>iNBL</t>
  </si>
  <si>
    <t>iNSL</t>
  </si>
  <si>
    <t>iNCRL</t>
  </si>
  <si>
    <t>iNFRL</t>
  </si>
  <si>
    <t>iPNL</t>
  </si>
  <si>
    <t>iPBL</t>
  </si>
  <si>
    <t>iPSL</t>
  </si>
  <si>
    <t>iPCRL</t>
  </si>
  <si>
    <t>iPFRL</t>
  </si>
  <si>
    <t>Generic</t>
  </si>
  <si>
    <t>Year_planted</t>
  </si>
  <si>
    <t>Latitude_(decimal_degrees)</t>
  </si>
  <si>
    <t>Elevation_above_sea_level_(m)</t>
  </si>
  <si>
    <t>Needle_retention_score</t>
  </si>
  <si>
    <t>Soil_%C</t>
  </si>
  <si>
    <t>Soil_%N</t>
  </si>
  <si>
    <t>Soil_Organic_P_(mg/kg)</t>
  </si>
  <si>
    <t>Early_survival_(%)</t>
  </si>
  <si>
    <t>Mean_Temperature_(°C)</t>
  </si>
  <si>
    <t>Mean_Outerwood_Density_(kg/m3)</t>
  </si>
  <si>
    <t>Outerwood_density_assessment_age_(years)</t>
  </si>
  <si>
    <t>Inner_ring</t>
  </si>
  <si>
    <t>Outer_ring</t>
  </si>
  <si>
    <t>300_Index</t>
  </si>
  <si>
    <t>Site_Index</t>
  </si>
  <si>
    <t>300_Index_Drift</t>
  </si>
  <si>
    <t>Additive_Mortality_Coef.</t>
  </si>
  <si>
    <t>Mult_Mortality_Coef.</t>
  </si>
  <si>
    <t>Initial_Dry_matter_Needle_litter_(t/ha)</t>
  </si>
  <si>
    <t>Initial_Dry_matter_Branch_litter_(t/ha)</t>
  </si>
  <si>
    <t>Initial_Dry_matter_Stem_litter_(t/ha)</t>
  </si>
  <si>
    <t>Initial_Dry_matter_Coarse_root_litter_(t/ha)</t>
  </si>
  <si>
    <t>Initial_Dry_matter_Fine_root_litter_(t/ha)</t>
  </si>
  <si>
    <t>Initial_N_Needle_litter_(kg/ha)</t>
  </si>
  <si>
    <t>Initial_N_Branch_litter_(kg/ha)</t>
  </si>
  <si>
    <t>Initial_N_Stem_litter_(kg/ha)</t>
  </si>
  <si>
    <t>Initial_N_Coarse_root_litter_(kg/ha)</t>
  </si>
  <si>
    <t>Initial_N_Fine_root_litter_(kg/ha)</t>
  </si>
  <si>
    <t>Initial_P_Needle_litter_(kg/ha)</t>
  </si>
  <si>
    <t>Initial_P_Branch_litter_(kg/ha)</t>
  </si>
  <si>
    <t>Initial_P_Stem_litter_(kg/ha)</t>
  </si>
  <si>
    <t>Initial_P_Coarse_root_litter_(kg/ha)</t>
  </si>
  <si>
    <t>Initial_P_Fine_root_litter_(kg/ha)</t>
  </si>
  <si>
    <t>#_Kimberley_&amp;_Beets,_2007</t>
  </si>
  <si>
    <t>#_Kimberley,_2006</t>
  </si>
  <si>
    <t>MTH_model</t>
  </si>
  <si>
    <t>DBH_model</t>
  </si>
  <si>
    <t>DBH_stand_density_adjustment_model</t>
  </si>
  <si>
    <t>Thinning_coefficients</t>
  </si>
  <si>
    <t>Mortality_function</t>
  </si>
  <si>
    <t>T458_redwood_volume_and_taper_model</t>
  </si>
  <si>
    <t>alpha0_458_</t>
  </si>
  <si>
    <t>T472_redwood_volume_and_taper_model</t>
  </si>
  <si>
    <t>alpha0_472_</t>
  </si>
  <si>
    <t>Other_constants</t>
  </si>
  <si>
    <t>Public_bh_</t>
  </si>
  <si>
    <t>uba1_</t>
  </si>
  <si>
    <t>uv472_</t>
  </si>
  <si>
    <t>uvCYP_</t>
  </si>
  <si>
    <t>Redwood_height_conversion_equation</t>
  </si>
  <si>
    <t>rcRED_</t>
  </si>
  <si>
    <t>Cypress_height_conversion_equation</t>
  </si>
  <si>
    <t>rcCYP_</t>
  </si>
  <si>
    <t>Crown_height_model</t>
  </si>
  <si>
    <t>pCH_</t>
  </si>
  <si>
    <t>Allowed_species</t>
  </si>
  <si>
    <t>Coast_redwood</t>
  </si>
  <si>
    <t>Cupressus_macrocarpa_(N.I.)</t>
  </si>
  <si>
    <t>Cupressus_macrocarpa_(S.I.)</t>
  </si>
  <si>
    <t>Cupressus_lusitanica_(N.I.)</t>
  </si>
  <si>
    <t>Cupressus_lusitanica_(S.I.)</t>
  </si>
  <si>
    <t>Eucalyptus_regnans</t>
  </si>
  <si>
    <t>Eucalyptus_fastigata</t>
  </si>
  <si>
    <t>Eucalyptus_nitens_(N.I.)</t>
  </si>
  <si>
    <t>Eucalyptus_nitens_(S.I.)</t>
  </si>
  <si>
    <t>Eucalyptus_delegatensis</t>
  </si>
  <si>
    <t>Eucalyptus_saligna</t>
  </si>
  <si>
    <t>Radiata_pine</t>
  </si>
  <si>
    <t>Models_predicting_MTH_from_mean_height_and_stand_density</t>
  </si>
  <si>
    <t>Stand-level_volume_functions</t>
  </si>
  <si>
    <t>Wood_density_models</t>
  </si>
  <si>
    <t>Redwood_diamater_under-bark_model_(from_T468_report)</t>
  </si>
  <si>
    <t>Redwood_stand-level_volume_function_T472</t>
  </si>
  <si>
    <t>Cypress_stand-level_volume_function</t>
  </si>
  <si>
    <t>1 ' Kimberley &amp; Beets, 2007</t>
  </si>
  <si>
    <t>3 ' Kimberley &amp; Beets, 2007</t>
  </si>
  <si>
    <t>Name</t>
  </si>
  <si>
    <t>Cell</t>
  </si>
  <si>
    <t>variable</t>
  </si>
  <si>
    <t>C3</t>
  </si>
  <si>
    <t>I300</t>
  </si>
  <si>
    <t>(1–60)</t>
  </si>
  <si>
    <t>C4</t>
  </si>
  <si>
    <t>(5–60)</t>
  </si>
  <si>
    <t>C7</t>
  </si>
  <si>
    <t>age300</t>
  </si>
  <si>
    <t>(0.1–100)</t>
  </si>
  <si>
    <t>DBH_calibration_age</t>
  </si>
  <si>
    <t>C8</t>
  </si>
  <si>
    <t>Stock300</t>
  </si>
  <si>
    <t>(10–15000)</t>
  </si>
  <si>
    <t>C9</t>
  </si>
  <si>
    <t>DBH300</t>
  </si>
  <si>
    <t>(&gt;0; one of DBH/BA/Vol must be entered)</t>
  </si>
  <si>
    <t>C10</t>
  </si>
  <si>
    <t>BA300</t>
  </si>
  <si>
    <t>C11</t>
  </si>
  <si>
    <t>Vol300</t>
  </si>
  <si>
    <t>C14</t>
  </si>
  <si>
    <t>HAge</t>
  </si>
  <si>
    <t>MTH_calibration_age</t>
  </si>
  <si>
    <t>C15</t>
  </si>
  <si>
    <t>HMTH</t>
  </si>
  <si>
    <t>MTH300</t>
  </si>
  <si>
    <t>C19</t>
  </si>
  <si>
    <t>Initialstocking</t>
  </si>
  <si>
    <t>(1–80000)</t>
  </si>
  <si>
    <t>C47</t>
  </si>
  <si>
    <t>(1–100)</t>
  </si>
  <si>
    <t>C48</t>
  </si>
  <si>
    <t>(0.01–2)</t>
  </si>
  <si>
    <t>D51</t>
  </si>
  <si>
    <t>(x→voltable=1)</t>
  </si>
  <si>
    <t>D52</t>
  </si>
  <si>
    <t>(x→voltable=2)</t>
  </si>
  <si>
    <t>D53</t>
  </si>
  <si>
    <t>(x→voltable=3)</t>
  </si>
  <si>
    <t>D54</t>
  </si>
  <si>
    <t>(x→voltable=4)</t>
  </si>
  <si>
    <t>D55</t>
  </si>
  <si>
    <t>(x→voltable=5)</t>
  </si>
  <si>
    <t>D56</t>
  </si>
  <si>
    <t>(x→voltable=6)</t>
  </si>
  <si>
    <t>D57</t>
  </si>
  <si>
    <t>(x→voltable=7)</t>
  </si>
  <si>
    <t>D58</t>
  </si>
  <si>
    <t>(x→voltable=8)</t>
  </si>
  <si>
    <t>D59</t>
  </si>
  <si>
    <t>(x→voltable=9)</t>
  </si>
  <si>
    <t>D60</t>
  </si>
  <si>
    <t>(x→voltable=10)</t>
  </si>
  <si>
    <t>D61</t>
  </si>
  <si>
    <t>(x→voltable=11)</t>
  </si>
  <si>
    <t>D64</t>
  </si>
  <si>
    <t>(x→1)</t>
  </si>
  <si>
    <t>D65</t>
  </si>
  <si>
    <t>(x→2)</t>
  </si>
  <si>
    <t>D68</t>
  </si>
  <si>
    <t>D69</t>
  </si>
  <si>
    <t>D70</t>
  </si>
  <si>
    <t>(x→3)</t>
  </si>
  <si>
    <t>D71</t>
  </si>
  <si>
    <t>(x→5)</t>
  </si>
  <si>
    <t>D72</t>
  </si>
  <si>
    <t>unused</t>
  </si>
  <si>
    <t>D75</t>
  </si>
  <si>
    <t>(any ≥0)</t>
  </si>
  <si>
    <t>D76</t>
  </si>
  <si>
    <t>D77</t>
  </si>
  <si>
    <t>Temp</t>
  </si>
  <si>
    <t>(typ. 0–25 °C)</t>
  </si>
  <si>
    <t>D78</t>
  </si>
  <si>
    <t>D79</t>
  </si>
  <si>
    <t>D80</t>
  </si>
  <si>
    <t>D81</t>
  </si>
  <si>
    <t>D82</t>
  </si>
  <si>
    <t>(any)</t>
  </si>
  <si>
    <t>D83</t>
  </si>
  <si>
    <t>text / selector</t>
  </si>
  <si>
    <t>F3</t>
  </si>
  <si>
    <t>latitude</t>
  </si>
  <si>
    <t>(−47 to −34 NZ range)</t>
  </si>
  <si>
    <t>F4</t>
  </si>
  <si>
    <t>altitude</t>
  </si>
  <si>
    <t>(0–1500 m typical)</t>
  </si>
  <si>
    <t>F8</t>
  </si>
  <si>
    <t>implementation</t>
  </si>
  <si>
    <t>1: Standard mode (default)
2. Offset mode
3. Index mode</t>
  </si>
  <si>
    <t>F51</t>
  </si>
  <si>
    <t>bias_old</t>
  </si>
  <si>
    <t>(x→TRUE)</t>
  </si>
  <si>
    <t>F52</t>
  </si>
  <si>
    <t>bias_young</t>
  </si>
  <si>
    <t>F53</t>
  </si>
  <si>
    <t>bias_SI</t>
  </si>
  <si>
    <t>F64</t>
  </si>
  <si>
    <t>drift</t>
  </si>
  <si>
    <t>F68</t>
  </si>
  <si>
    <t>(any; % loss)</t>
  </si>
  <si>
    <t>F69</t>
  </si>
  <si>
    <t>(any; % multiplier)</t>
  </si>
  <si>
    <t>F70</t>
  </si>
  <si>
    <t>mort_thin</t>
  </si>
  <si>
    <t>Value</t>
  </si>
  <si>
    <t>voltabarray_2</t>
  </si>
  <si>
    <t>voltabarray_3</t>
  </si>
  <si>
    <t>voltabarray_4</t>
  </si>
  <si>
    <t>voltabarray_5</t>
  </si>
  <si>
    <t>voltabarray_6</t>
  </si>
  <si>
    <t>voltabarray_7</t>
  </si>
  <si>
    <t>voltabarray_8</t>
  </si>
  <si>
    <t>voltabarray_9</t>
  </si>
  <si>
    <t>voltabarray_10</t>
  </si>
  <si>
    <t>voltabarray_11</t>
  </si>
  <si>
    <t>height_model_NSW</t>
  </si>
  <si>
    <t>mort_NSW</t>
  </si>
  <si>
    <t>mort_NZ2004</t>
  </si>
  <si>
    <t>mort_NZsimple</t>
  </si>
  <si>
    <t>mort_NZ2006</t>
  </si>
  <si>
    <t>core_density</t>
  </si>
  <si>
    <t>core_age</t>
  </si>
  <si>
    <t>inner_ring</t>
  </si>
  <si>
    <t>outer_ring</t>
  </si>
  <si>
    <t>genetic_adjustment</t>
  </si>
  <si>
    <t>mort_add</t>
  </si>
  <si>
    <t>mort_mult</t>
  </si>
  <si>
    <t>species</t>
  </si>
  <si>
    <t>max_age</t>
  </si>
  <si>
    <t>step_length</t>
  </si>
  <si>
    <t>voltabarray_1</t>
  </si>
  <si>
    <t>height_model_NZ</t>
  </si>
  <si>
    <t>mort_NZ2007</t>
  </si>
  <si>
    <t>density_model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</si>
</sst>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b/>
      <i/>
      <sz val="8"/>
      <color indexed="81"/>
      <name val="Tahoma"/>
      <family val="2"/>
    </font>
    <font>
      <i/>
      <sz val="11"/>
      <color theme="1"/>
      <name val="Calibri"/>
      <family val="2"/>
      <scheme val="minor"/>
    </font>
    <font>
      <i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theme="9" tint="0.79998168889431442"/>
      </patternFill>
    </fill>
    <fill>
      <patternFill patternType="solid">
        <fgColor theme="7" tint="0.79998168889431442"/>
        <bgColor theme="7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3" fillId="0" borderId="0"/>
    <xf numFmtId="0" fontId="11" fillId="0" borderId="0" applyNumberFormat="0" applyFill="0" applyBorder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16" applyNumberFormat="0" applyAlignment="0" applyProtection="0"/>
    <xf numFmtId="0" fontId="19" fillId="10" borderId="17" applyNumberFormat="0" applyAlignment="0" applyProtection="0"/>
    <xf numFmtId="0" fontId="20" fillId="10" borderId="16" applyNumberFormat="0" applyAlignment="0" applyProtection="0"/>
    <xf numFmtId="0" fontId="21" fillId="0" borderId="18" applyNumberFormat="0" applyFill="0" applyAlignment="0" applyProtection="0"/>
    <xf numFmtId="0" fontId="6" fillId="11" borderId="19" applyNumberFormat="0" applyAlignment="0" applyProtection="0"/>
    <xf numFmtId="0" fontId="22" fillId="0" borderId="0" applyNumberFormat="0" applyFill="0" applyBorder="0" applyAlignment="0" applyProtection="0"/>
    <xf numFmtId="0" fontId="10" fillId="12" borderId="20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21" applyNumberFormat="0" applyFill="0" applyAlignment="0" applyProtection="0"/>
    <xf numFmtId="0" fontId="24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4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4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4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4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4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0" borderId="0"/>
  </cellStyleXfs>
  <cellXfs count="48">
    <xf numFmtId="0" fontId="0" fillId="0" borderId="0" xfId="0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1" applyFont="1" applyAlignment="1">
      <alignment horizontal="left"/>
    </xf>
    <xf numFmtId="164" fontId="2" fillId="0" borderId="0" xfId="1" applyNumberFormat="1" applyFont="1" applyAlignment="1">
      <alignment horizontal="left"/>
    </xf>
    <xf numFmtId="0" fontId="3" fillId="0" borderId="5" xfId="1" applyBorder="1" applyAlignment="1">
      <alignment horizontal="left"/>
    </xf>
    <xf numFmtId="0" fontId="3" fillId="0" borderId="6" xfId="1" applyBorder="1" applyAlignment="1">
      <alignment horizontal="left"/>
    </xf>
    <xf numFmtId="0" fontId="3" fillId="0" borderId="0" xfId="1" applyAlignment="1">
      <alignment horizontal="left"/>
    </xf>
    <xf numFmtId="0" fontId="3" fillId="0" borderId="8" xfId="1" applyBorder="1" applyAlignment="1">
      <alignment horizontal="left"/>
    </xf>
    <xf numFmtId="0" fontId="3" fillId="0" borderId="12" xfId="1" applyBorder="1" applyAlignment="1">
      <alignment horizontal="left"/>
    </xf>
    <xf numFmtId="0" fontId="3" fillId="0" borderId="11" xfId="1" applyBorder="1" applyAlignment="1">
      <alignment horizontal="left"/>
    </xf>
    <xf numFmtId="0" fontId="3" fillId="0" borderId="9" xfId="1" applyBorder="1" applyAlignment="1">
      <alignment horizontal="left"/>
    </xf>
    <xf numFmtId="0" fontId="3" fillId="0" borderId="10" xfId="1" applyBorder="1" applyAlignment="1">
      <alignment horizontal="left"/>
    </xf>
    <xf numFmtId="0" fontId="3" fillId="0" borderId="24" xfId="1" applyBorder="1" applyAlignment="1">
      <alignment horizontal="left"/>
    </xf>
    <xf numFmtId="0" fontId="3" fillId="0" borderId="7" xfId="1" applyBorder="1" applyAlignment="1">
      <alignment horizontal="left"/>
    </xf>
    <xf numFmtId="0" fontId="3" fillId="0" borderId="23" xfId="1" applyBorder="1" applyAlignment="1">
      <alignment horizontal="left"/>
    </xf>
    <xf numFmtId="0" fontId="3" fillId="0" borderId="22" xfId="1" applyBorder="1" applyAlignment="1">
      <alignment horizontal="left"/>
    </xf>
    <xf numFmtId="164" fontId="3" fillId="0" borderId="8" xfId="1" applyNumberFormat="1" applyBorder="1" applyAlignment="1">
      <alignment horizontal="left"/>
    </xf>
    <xf numFmtId="0" fontId="3" fillId="38" borderId="1" xfId="1" applyFill="1" applyBorder="1" applyAlignment="1">
      <alignment horizontal="left" vertical="center"/>
    </xf>
    <xf numFmtId="164" fontId="3" fillId="0" borderId="24" xfId="1" applyNumberFormat="1" applyBorder="1" applyAlignment="1">
      <alignment horizontal="left"/>
    </xf>
    <xf numFmtId="0" fontId="3" fillId="0" borderId="10" xfId="1" applyBorder="1"/>
    <xf numFmtId="0" fontId="3" fillId="2" borderId="1" xfId="1" applyFill="1" applyBorder="1" applyAlignment="1">
      <alignment horizontal="left" vertical="center"/>
    </xf>
    <xf numFmtId="164" fontId="3" fillId="0" borderId="23" xfId="1" applyNumberFormat="1" applyBorder="1" applyAlignment="1">
      <alignment horizontal="left"/>
    </xf>
    <xf numFmtId="164" fontId="3" fillId="0" borderId="12" xfId="1" applyNumberFormat="1" applyBorder="1" applyAlignment="1">
      <alignment horizontal="left"/>
    </xf>
    <xf numFmtId="164" fontId="3" fillId="0" borderId="7" xfId="1" applyNumberFormat="1" applyBorder="1" applyAlignment="1">
      <alignment horizontal="left"/>
    </xf>
    <xf numFmtId="164" fontId="3" fillId="2" borderId="1" xfId="1" applyNumberFormat="1" applyFill="1" applyBorder="1" applyAlignment="1">
      <alignment horizontal="left" vertical="center"/>
    </xf>
    <xf numFmtId="164" fontId="3" fillId="0" borderId="22" xfId="1" applyNumberFormat="1" applyBorder="1" applyAlignment="1">
      <alignment horizontal="left"/>
    </xf>
    <xf numFmtId="164" fontId="3" fillId="0" borderId="11" xfId="1" applyNumberFormat="1" applyBorder="1" applyAlignment="1">
      <alignment horizontal="left"/>
    </xf>
    <xf numFmtId="164" fontId="3" fillId="0" borderId="6" xfId="1" applyNumberFormat="1" applyBorder="1" applyAlignment="1">
      <alignment horizontal="left"/>
    </xf>
    <xf numFmtId="164" fontId="3" fillId="0" borderId="12" xfId="1" applyNumberFormat="1" applyBorder="1"/>
    <xf numFmtId="0" fontId="3" fillId="0" borderId="24" xfId="1" applyBorder="1" applyAlignment="1">
      <alignment horizontal="left" wrapText="1"/>
    </xf>
    <xf numFmtId="164" fontId="3" fillId="0" borderId="10" xfId="1" applyNumberFormat="1" applyBorder="1" applyAlignment="1">
      <alignment horizontal="left"/>
    </xf>
    <xf numFmtId="164" fontId="3" fillId="0" borderId="5" xfId="1" applyNumberFormat="1" applyBorder="1" applyAlignment="1">
      <alignment horizontal="left"/>
    </xf>
    <xf numFmtId="164" fontId="3" fillId="0" borderId="11" xfId="1" applyNumberFormat="1" applyBorder="1"/>
    <xf numFmtId="0" fontId="3" fillId="0" borderId="12" xfId="1" applyBorder="1"/>
    <xf numFmtId="164" fontId="3" fillId="0" borderId="9" xfId="1" applyNumberFormat="1" applyBorder="1" applyAlignment="1">
      <alignment horizontal="left"/>
    </xf>
    <xf numFmtId="164" fontId="3" fillId="0" borderId="10" xfId="1" applyNumberFormat="1" applyBorder="1"/>
    <xf numFmtId="0" fontId="3" fillId="0" borderId="11" xfId="1" applyBorder="1"/>
    <xf numFmtId="164" fontId="3" fillId="0" borderId="0" xfId="1" applyNumberFormat="1" applyAlignment="1">
      <alignment horizontal="left"/>
    </xf>
    <xf numFmtId="164" fontId="2" fillId="0" borderId="0" xfId="1" applyNumberFormat="1" applyFont="1"/>
    <xf numFmtId="0" fontId="5" fillId="4" borderId="3" xfId="0" applyFont="1" applyFill="1" applyBorder="1"/>
    <xf numFmtId="164" fontId="3" fillId="3" borderId="4" xfId="0" applyNumberFormat="1" applyFont="1" applyFill="1" applyBorder="1" applyProtection="1">
      <protection locked="0"/>
    </xf>
    <xf numFmtId="0" fontId="5" fillId="4" borderId="2" xfId="0" applyFont="1" applyFill="1" applyBorder="1"/>
    <xf numFmtId="164" fontId="3" fillId="37" borderId="1" xfId="1" applyNumberFormat="1" applyFill="1" applyBorder="1" applyAlignment="1">
      <alignment horizontal="left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78F8CE6-C688-47BE-AB63-DB98B0162289}"/>
    <cellStyle name="Normal 5" xfId="43" xr:uid="{C151D3C7-32DD-4DD9-B5C2-207488E3E0C4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F2CC"/>
      <color rgb="FFC6513A"/>
      <color rgb="FF000000"/>
      <color rgb="FFCC6600"/>
      <color rgb="FFFF0066"/>
      <color rgb="FFF694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91BC-D957-4FC0-A434-BF0E9EFF912D}">
  <sheetPr codeName="Sheet14"/>
  <dimension ref="A1:G371"/>
  <sheetViews>
    <sheetView tabSelected="1" zoomScale="85" zoomScaleNormal="85" workbookViewId="0">
      <selection activeCell="F34" sqref="F34"/>
    </sheetView>
  </sheetViews>
  <sheetFormatPr defaultRowHeight="15" x14ac:dyDescent="0.25"/>
  <cols>
    <col min="1" max="1" width="14.42578125" customWidth="1"/>
    <col min="2" max="2" width="9.7109375" bestFit="1" customWidth="1"/>
    <col min="3" max="3" width="17.7109375" bestFit="1" customWidth="1"/>
    <col min="4" max="5" width="26.7109375" bestFit="1" customWidth="1"/>
    <col min="6" max="6" width="23.28515625" bestFit="1" customWidth="1"/>
    <col min="7" max="7" width="16" bestFit="1" customWidth="1"/>
    <col min="8" max="13" width="12.7109375" bestFit="1" customWidth="1"/>
    <col min="14" max="14" width="13.28515625" bestFit="1" customWidth="1"/>
    <col min="15" max="16" width="8.7109375" bestFit="1" customWidth="1"/>
  </cols>
  <sheetData>
    <row r="1" spans="1:5" x14ac:dyDescent="0.25">
      <c r="A1" s="1" t="s">
        <v>2</v>
      </c>
      <c r="B1" s="4" t="s">
        <v>0</v>
      </c>
      <c r="C1" s="1" t="s">
        <v>448</v>
      </c>
      <c r="D1" s="1" t="s">
        <v>449</v>
      </c>
      <c r="E1" s="1"/>
    </row>
    <row r="2" spans="1:5" x14ac:dyDescent="0.25">
      <c r="A2" s="1" t="s">
        <v>481</v>
      </c>
      <c r="B2" t="s">
        <v>445</v>
      </c>
      <c r="C2" t="s">
        <v>53</v>
      </c>
      <c r="D2">
        <v>56.523000000000003</v>
      </c>
    </row>
    <row r="3" spans="1:5" x14ac:dyDescent="0.25">
      <c r="A3" t="str">
        <f t="shared" ref="A3:A34" si="0">A2</f>
        <v>Generic</v>
      </c>
      <c r="B3" t="s">
        <v>445</v>
      </c>
      <c r="C3" t="s">
        <v>54</v>
      </c>
      <c r="D3">
        <v>-9.0450000000000003E-2</v>
      </c>
    </row>
    <row r="4" spans="1:5" x14ac:dyDescent="0.25">
      <c r="A4" t="str">
        <f t="shared" si="0"/>
        <v>Generic</v>
      </c>
      <c r="B4" t="s">
        <v>445</v>
      </c>
      <c r="C4" t="s">
        <v>55</v>
      </c>
      <c r="D4">
        <v>2.6415999999999999</v>
      </c>
    </row>
    <row r="5" spans="1:5" x14ac:dyDescent="0.25">
      <c r="A5" t="str">
        <f t="shared" si="0"/>
        <v>Generic</v>
      </c>
      <c r="B5" t="s">
        <v>445</v>
      </c>
      <c r="C5" t="s">
        <v>56</v>
      </c>
      <c r="D5">
        <v>28.122399999999999</v>
      </c>
    </row>
    <row r="6" spans="1:5" x14ac:dyDescent="0.25">
      <c r="A6" t="str">
        <f t="shared" si="0"/>
        <v>Generic</v>
      </c>
      <c r="B6" t="s">
        <v>445</v>
      </c>
      <c r="C6" t="s">
        <v>57</v>
      </c>
      <c r="D6">
        <v>1.4821</v>
      </c>
    </row>
    <row r="7" spans="1:5" x14ac:dyDescent="0.25">
      <c r="A7" t="str">
        <f t="shared" si="0"/>
        <v>Generic</v>
      </c>
      <c r="B7" t="s">
        <v>445</v>
      </c>
      <c r="C7" t="s">
        <v>58</v>
      </c>
      <c r="D7">
        <v>-2.1199999999999999E-3</v>
      </c>
    </row>
    <row r="8" spans="1:5" x14ac:dyDescent="0.25">
      <c r="A8" t="str">
        <f t="shared" si="0"/>
        <v>Generic</v>
      </c>
      <c r="B8" t="s">
        <v>445</v>
      </c>
      <c r="C8" t="s">
        <v>59</v>
      </c>
      <c r="D8">
        <v>15.758100000000001</v>
      </c>
    </row>
    <row r="9" spans="1:5" x14ac:dyDescent="0.25">
      <c r="A9" t="str">
        <f t="shared" si="0"/>
        <v>Generic</v>
      </c>
      <c r="B9" t="s">
        <v>445</v>
      </c>
      <c r="C9" t="s">
        <v>60</v>
      </c>
      <c r="D9">
        <v>-4.5500000000000002E-3</v>
      </c>
    </row>
    <row r="10" spans="1:5" x14ac:dyDescent="0.25">
      <c r="A10" t="str">
        <f t="shared" si="0"/>
        <v>Generic</v>
      </c>
      <c r="B10" t="s">
        <v>445</v>
      </c>
      <c r="C10" t="s">
        <v>61</v>
      </c>
      <c r="D10">
        <v>-0.13250000000000001</v>
      </c>
    </row>
    <row r="11" spans="1:5" x14ac:dyDescent="0.25">
      <c r="A11" t="str">
        <f t="shared" si="0"/>
        <v>Generic</v>
      </c>
      <c r="B11" t="s">
        <v>445</v>
      </c>
      <c r="C11" t="s">
        <v>62</v>
      </c>
      <c r="D11">
        <v>0.17019999999999999</v>
      </c>
    </row>
    <row r="12" spans="1:5" x14ac:dyDescent="0.25">
      <c r="A12" t="str">
        <f t="shared" si="0"/>
        <v>Generic</v>
      </c>
      <c r="B12" t="s">
        <v>445</v>
      </c>
      <c r="C12" t="s">
        <v>63</v>
      </c>
      <c r="D12">
        <v>-8.3999999999999995E-3</v>
      </c>
    </row>
    <row r="13" spans="1:5" x14ac:dyDescent="0.25">
      <c r="A13" t="str">
        <f t="shared" si="0"/>
        <v>Generic</v>
      </c>
      <c r="B13" t="s">
        <v>445</v>
      </c>
      <c r="C13" t="s">
        <v>64</v>
      </c>
      <c r="D13">
        <v>2.0899999999999998E-2</v>
      </c>
    </row>
    <row r="14" spans="1:5" x14ac:dyDescent="0.25">
      <c r="A14" t="str">
        <f t="shared" si="0"/>
        <v>Generic</v>
      </c>
      <c r="B14" t="s">
        <v>445</v>
      </c>
      <c r="C14" t="s">
        <v>65</v>
      </c>
      <c r="D14">
        <v>0.82340000000000002</v>
      </c>
    </row>
    <row r="15" spans="1:5" x14ac:dyDescent="0.25">
      <c r="A15" t="str">
        <f t="shared" si="0"/>
        <v>Generic</v>
      </c>
      <c r="B15" t="s">
        <v>445</v>
      </c>
      <c r="C15" t="s">
        <v>66</v>
      </c>
      <c r="D15">
        <v>9.3399999999999997E-2</v>
      </c>
    </row>
    <row r="16" spans="1:5" x14ac:dyDescent="0.25">
      <c r="A16" t="str">
        <f t="shared" si="0"/>
        <v>Generic</v>
      </c>
      <c r="B16" t="s">
        <v>445</v>
      </c>
      <c r="C16" t="s">
        <v>67</v>
      </c>
      <c r="D16">
        <v>1.98</v>
      </c>
    </row>
    <row r="17" spans="1:7" x14ac:dyDescent="0.25">
      <c r="A17" t="str">
        <f t="shared" si="0"/>
        <v>Generic</v>
      </c>
      <c r="B17" t="s">
        <v>445</v>
      </c>
      <c r="C17" t="s">
        <v>68</v>
      </c>
      <c r="D17">
        <v>0.21190000000000001</v>
      </c>
    </row>
    <row r="18" spans="1:7" x14ac:dyDescent="0.25">
      <c r="A18" t="str">
        <f t="shared" si="0"/>
        <v>Generic</v>
      </c>
      <c r="B18" t="s">
        <v>445</v>
      </c>
      <c r="C18" t="s">
        <v>69</v>
      </c>
      <c r="D18">
        <v>-2.4750000000000001</v>
      </c>
    </row>
    <row r="19" spans="1:7" x14ac:dyDescent="0.25">
      <c r="A19" t="str">
        <f t="shared" si="0"/>
        <v>Generic</v>
      </c>
      <c r="B19" t="s">
        <v>445</v>
      </c>
      <c r="C19" t="s">
        <v>70</v>
      </c>
      <c r="D19">
        <v>-1.406E-2</v>
      </c>
    </row>
    <row r="20" spans="1:7" x14ac:dyDescent="0.25">
      <c r="A20" t="str">
        <f t="shared" si="0"/>
        <v>Generic</v>
      </c>
      <c r="B20" t="s">
        <v>445</v>
      </c>
      <c r="C20" t="s">
        <v>71</v>
      </c>
      <c r="D20">
        <v>0.33417000000000002</v>
      </c>
    </row>
    <row r="21" spans="1:7" x14ac:dyDescent="0.25">
      <c r="A21" t="str">
        <f t="shared" si="0"/>
        <v>Generic</v>
      </c>
      <c r="B21" t="s">
        <v>445</v>
      </c>
      <c r="C21" t="s">
        <v>72</v>
      </c>
      <c r="D21">
        <v>1.04E-2</v>
      </c>
    </row>
    <row r="22" spans="1:7" x14ac:dyDescent="0.25">
      <c r="A22" t="str">
        <f t="shared" si="0"/>
        <v>Generic</v>
      </c>
      <c r="B22" s="6" t="s">
        <v>445</v>
      </c>
      <c r="C22" s="6" t="s">
        <v>73</v>
      </c>
      <c r="D22">
        <v>-1.335</v>
      </c>
    </row>
    <row r="23" spans="1:7" x14ac:dyDescent="0.25">
      <c r="A23" t="str">
        <f t="shared" si="0"/>
        <v>Generic</v>
      </c>
      <c r="B23" t="s">
        <v>445</v>
      </c>
      <c r="C23" t="s">
        <v>74</v>
      </c>
      <c r="D23">
        <v>-3.5810000000000002E-2</v>
      </c>
      <c r="F23" t="s">
        <v>556</v>
      </c>
      <c r="G23">
        <v>1</v>
      </c>
    </row>
    <row r="24" spans="1:7" x14ac:dyDescent="0.25">
      <c r="A24" t="str">
        <f t="shared" si="0"/>
        <v>Generic</v>
      </c>
      <c r="B24" t="s">
        <v>445</v>
      </c>
      <c r="C24" t="s">
        <v>75</v>
      </c>
      <c r="D24">
        <v>-6.3060000000000004E-4</v>
      </c>
      <c r="F24" t="s">
        <v>557</v>
      </c>
      <c r="G24">
        <v>3</v>
      </c>
    </row>
    <row r="25" spans="1:7" x14ac:dyDescent="0.25">
      <c r="A25" t="str">
        <f t="shared" si="0"/>
        <v>Generic</v>
      </c>
      <c r="B25" t="s">
        <v>445</v>
      </c>
      <c r="C25" t="s">
        <v>76</v>
      </c>
      <c r="D25">
        <v>0.499</v>
      </c>
      <c r="F25" t="s">
        <v>144</v>
      </c>
      <c r="G25">
        <v>4</v>
      </c>
    </row>
    <row r="26" spans="1:7" x14ac:dyDescent="0.25">
      <c r="A26" t="str">
        <f t="shared" si="0"/>
        <v>Generic</v>
      </c>
      <c r="B26" t="s">
        <v>445</v>
      </c>
      <c r="C26" t="s">
        <v>77</v>
      </c>
      <c r="D26">
        <v>5.0590000000000001E-3</v>
      </c>
      <c r="F26" t="s">
        <v>133</v>
      </c>
      <c r="G26">
        <v>5</v>
      </c>
    </row>
    <row r="27" spans="1:7" x14ac:dyDescent="0.25">
      <c r="A27" t="str">
        <f t="shared" si="0"/>
        <v>Generic</v>
      </c>
      <c r="B27" t="s">
        <v>445</v>
      </c>
      <c r="C27" t="s">
        <v>78</v>
      </c>
      <c r="D27">
        <v>-2.6842000000000001</v>
      </c>
      <c r="F27" t="s">
        <v>126</v>
      </c>
      <c r="G27">
        <v>6</v>
      </c>
    </row>
    <row r="28" spans="1:7" x14ac:dyDescent="0.25">
      <c r="A28" t="str">
        <f t="shared" si="0"/>
        <v>Generic</v>
      </c>
      <c r="B28" t="s">
        <v>445</v>
      </c>
      <c r="C28" t="s">
        <v>79</v>
      </c>
      <c r="D28">
        <v>0.72929999999999995</v>
      </c>
      <c r="F28" t="s">
        <v>154</v>
      </c>
      <c r="G28">
        <v>7</v>
      </c>
    </row>
    <row r="29" spans="1:7" x14ac:dyDescent="0.25">
      <c r="A29" t="str">
        <f t="shared" si="0"/>
        <v>Generic</v>
      </c>
      <c r="B29" t="s">
        <v>445</v>
      </c>
      <c r="C29" t="s">
        <v>80</v>
      </c>
      <c r="D29">
        <v>-1.7600000000000001E-3</v>
      </c>
      <c r="F29" t="s">
        <v>124</v>
      </c>
      <c r="G29">
        <v>8</v>
      </c>
    </row>
    <row r="30" spans="1:7" x14ac:dyDescent="0.25">
      <c r="A30" t="str">
        <f t="shared" si="0"/>
        <v>Generic</v>
      </c>
      <c r="B30" t="s">
        <v>445</v>
      </c>
      <c r="C30" t="s">
        <v>81</v>
      </c>
      <c r="D30">
        <v>0.5</v>
      </c>
      <c r="F30" t="s">
        <v>131</v>
      </c>
      <c r="G30">
        <v>9</v>
      </c>
    </row>
    <row r="31" spans="1:7" x14ac:dyDescent="0.25">
      <c r="A31" t="str">
        <f t="shared" si="0"/>
        <v>Generic</v>
      </c>
      <c r="B31" t="s">
        <v>445</v>
      </c>
      <c r="C31" t="s">
        <v>82</v>
      </c>
      <c r="D31">
        <v>-0.47</v>
      </c>
    </row>
    <row r="32" spans="1:7" x14ac:dyDescent="0.25">
      <c r="A32" t="str">
        <f t="shared" si="0"/>
        <v>Generic</v>
      </c>
      <c r="B32" t="s">
        <v>445</v>
      </c>
      <c r="C32" t="s">
        <v>83</v>
      </c>
      <c r="D32">
        <v>0.24929999999999999</v>
      </c>
    </row>
    <row r="33" spans="1:4" x14ac:dyDescent="0.25">
      <c r="A33" t="str">
        <f t="shared" si="0"/>
        <v>Generic</v>
      </c>
      <c r="B33" t="s">
        <v>445</v>
      </c>
      <c r="C33" t="s">
        <v>84</v>
      </c>
      <c r="D33">
        <v>0.5</v>
      </c>
    </row>
    <row r="34" spans="1:4" x14ac:dyDescent="0.25">
      <c r="A34" t="str">
        <f t="shared" si="0"/>
        <v>Generic</v>
      </c>
      <c r="B34" t="s">
        <v>445</v>
      </c>
      <c r="C34" t="s">
        <v>85</v>
      </c>
      <c r="D34">
        <v>1</v>
      </c>
    </row>
    <row r="35" spans="1:4" x14ac:dyDescent="0.25">
      <c r="A35" t="str">
        <f t="shared" ref="A35:A62" si="1">A34</f>
        <v>Generic</v>
      </c>
      <c r="B35" t="s">
        <v>445</v>
      </c>
      <c r="C35" t="s">
        <v>86</v>
      </c>
      <c r="D35">
        <v>0.78400000000000003</v>
      </c>
    </row>
    <row r="36" spans="1:4" x14ac:dyDescent="0.25">
      <c r="A36" t="str">
        <f t="shared" si="1"/>
        <v>Generic</v>
      </c>
      <c r="B36" t="s">
        <v>445</v>
      </c>
      <c r="C36" t="s">
        <v>87</v>
      </c>
      <c r="D36">
        <v>1.5</v>
      </c>
    </row>
    <row r="37" spans="1:4" x14ac:dyDescent="0.25">
      <c r="A37" t="str">
        <f t="shared" si="1"/>
        <v>Generic</v>
      </c>
      <c r="B37" t="s">
        <v>445</v>
      </c>
      <c r="C37" t="s">
        <v>88</v>
      </c>
      <c r="D37">
        <v>-5.5500000000000001E-2</v>
      </c>
    </row>
    <row r="38" spans="1:4" x14ac:dyDescent="0.25">
      <c r="A38" t="str">
        <f t="shared" si="1"/>
        <v>Generic</v>
      </c>
      <c r="B38" t="s">
        <v>445</v>
      </c>
      <c r="C38" t="s">
        <v>89</v>
      </c>
      <c r="D38">
        <v>0.86899999999999999</v>
      </c>
    </row>
    <row r="39" spans="1:4" x14ac:dyDescent="0.25">
      <c r="A39" t="str">
        <f t="shared" si="1"/>
        <v>Generic</v>
      </c>
      <c r="B39" t="s">
        <v>445</v>
      </c>
      <c r="C39" t="s">
        <v>90</v>
      </c>
      <c r="D39">
        <v>6.8800000000000003E-4</v>
      </c>
    </row>
    <row r="40" spans="1:4" x14ac:dyDescent="0.25">
      <c r="A40" t="str">
        <f t="shared" si="1"/>
        <v>Generic</v>
      </c>
      <c r="B40" t="s">
        <v>445</v>
      </c>
      <c r="C40" t="s">
        <v>91</v>
      </c>
      <c r="D40">
        <v>-14.91</v>
      </c>
    </row>
    <row r="41" spans="1:4" x14ac:dyDescent="0.25">
      <c r="A41" t="str">
        <f t="shared" si="1"/>
        <v>Generic</v>
      </c>
      <c r="B41" t="s">
        <v>445</v>
      </c>
      <c r="C41" t="s">
        <v>92</v>
      </c>
      <c r="D41">
        <v>-44.691000000000003</v>
      </c>
    </row>
    <row r="42" spans="1:4" x14ac:dyDescent="0.25">
      <c r="A42" t="str">
        <f t="shared" si="1"/>
        <v>Generic</v>
      </c>
      <c r="B42" t="s">
        <v>445</v>
      </c>
      <c r="C42" t="s">
        <v>93</v>
      </c>
      <c r="D42">
        <v>-4.6109999999999998</v>
      </c>
    </row>
    <row r="43" spans="1:4" x14ac:dyDescent="0.25">
      <c r="A43" t="str">
        <f t="shared" si="1"/>
        <v>Generic</v>
      </c>
      <c r="B43" t="s">
        <v>445</v>
      </c>
      <c r="C43" t="s">
        <v>94</v>
      </c>
      <c r="D43">
        <v>3.9009999999999998</v>
      </c>
    </row>
    <row r="44" spans="1:4" x14ac:dyDescent="0.25">
      <c r="A44" t="str">
        <f t="shared" si="1"/>
        <v>Generic</v>
      </c>
      <c r="B44" t="s">
        <v>445</v>
      </c>
      <c r="C44" t="s">
        <v>95</v>
      </c>
      <c r="D44">
        <v>1.3532999999999999</v>
      </c>
    </row>
    <row r="45" spans="1:4" x14ac:dyDescent="0.25">
      <c r="A45" t="str">
        <f t="shared" si="1"/>
        <v>Generic</v>
      </c>
      <c r="B45" t="s">
        <v>445</v>
      </c>
      <c r="C45" t="s">
        <v>96</v>
      </c>
      <c r="D45">
        <v>2.4599999999999999E-3</v>
      </c>
    </row>
    <row r="46" spans="1:4" x14ac:dyDescent="0.25">
      <c r="A46" t="str">
        <f t="shared" si="1"/>
        <v>Generic</v>
      </c>
      <c r="B46" t="s">
        <v>445</v>
      </c>
      <c r="C46" t="s">
        <v>97</v>
      </c>
      <c r="D46">
        <v>-30.565000000000001</v>
      </c>
    </row>
    <row r="47" spans="1:4" x14ac:dyDescent="0.25">
      <c r="A47" t="str">
        <f t="shared" si="1"/>
        <v>Generic</v>
      </c>
      <c r="B47" t="s">
        <v>445</v>
      </c>
      <c r="C47" t="s">
        <v>98</v>
      </c>
      <c r="D47">
        <v>2.536</v>
      </c>
    </row>
    <row r="48" spans="1:4" x14ac:dyDescent="0.25">
      <c r="A48" t="str">
        <f t="shared" si="1"/>
        <v>Generic</v>
      </c>
      <c r="B48" t="s">
        <v>445</v>
      </c>
      <c r="C48" t="s">
        <v>99</v>
      </c>
      <c r="D48">
        <v>1.125</v>
      </c>
    </row>
    <row r="49" spans="1:5" x14ac:dyDescent="0.25">
      <c r="A49" t="str">
        <f t="shared" si="1"/>
        <v>Generic</v>
      </c>
      <c r="B49" t="s">
        <v>445</v>
      </c>
      <c r="C49" t="s">
        <v>100</v>
      </c>
      <c r="D49">
        <v>4.3800000000000002E-4</v>
      </c>
    </row>
    <row r="50" spans="1:5" x14ac:dyDescent="0.25">
      <c r="A50" t="str">
        <f t="shared" si="1"/>
        <v>Generic</v>
      </c>
      <c r="B50" t="s">
        <v>445</v>
      </c>
      <c r="C50" t="s">
        <v>101</v>
      </c>
      <c r="D50">
        <v>2.0600000000000002E-3</v>
      </c>
    </row>
    <row r="51" spans="1:5" x14ac:dyDescent="0.25">
      <c r="A51" t="str">
        <f t="shared" si="1"/>
        <v>Generic</v>
      </c>
      <c r="B51" t="s">
        <v>445</v>
      </c>
      <c r="C51" t="s">
        <v>102</v>
      </c>
      <c r="D51">
        <v>-46.321599999999997</v>
      </c>
    </row>
    <row r="52" spans="1:5" x14ac:dyDescent="0.25">
      <c r="A52" t="str">
        <f t="shared" si="1"/>
        <v>Generic</v>
      </c>
      <c r="B52" t="s">
        <v>445</v>
      </c>
      <c r="C52" t="s">
        <v>103</v>
      </c>
      <c r="D52">
        <v>3.1703999999999999</v>
      </c>
    </row>
    <row r="53" spans="1:5" x14ac:dyDescent="0.25">
      <c r="A53" t="str">
        <f t="shared" si="1"/>
        <v>Generic</v>
      </c>
      <c r="B53" t="s">
        <v>445</v>
      </c>
      <c r="C53" t="s">
        <v>104</v>
      </c>
      <c r="D53">
        <v>1.7477</v>
      </c>
    </row>
    <row r="54" spans="1:5" x14ac:dyDescent="0.25">
      <c r="A54" t="str">
        <f t="shared" si="1"/>
        <v>Generic</v>
      </c>
      <c r="B54" t="s">
        <v>445</v>
      </c>
      <c r="C54" t="s">
        <v>105</v>
      </c>
      <c r="D54">
        <v>-0.16309999999999999</v>
      </c>
    </row>
    <row r="55" spans="1:5" x14ac:dyDescent="0.25">
      <c r="A55" t="str">
        <f t="shared" si="1"/>
        <v>Generic</v>
      </c>
      <c r="B55" t="s">
        <v>445</v>
      </c>
      <c r="C55" t="s">
        <v>106</v>
      </c>
      <c r="D55">
        <v>0.1991</v>
      </c>
    </row>
    <row r="56" spans="1:5" x14ac:dyDescent="0.25">
      <c r="A56" t="str">
        <f t="shared" si="1"/>
        <v>Generic</v>
      </c>
      <c r="B56" t="s">
        <v>445</v>
      </c>
      <c r="C56" t="s">
        <v>107</v>
      </c>
      <c r="D56">
        <v>4.5899999999999999E-4</v>
      </c>
    </row>
    <row r="57" spans="1:5" x14ac:dyDescent="0.25">
      <c r="A57" t="str">
        <f t="shared" si="1"/>
        <v>Generic</v>
      </c>
      <c r="B57" t="s">
        <v>445</v>
      </c>
      <c r="C57" t="s">
        <v>108</v>
      </c>
      <c r="D57">
        <v>0.97399999999999998</v>
      </c>
    </row>
    <row r="58" spans="1:5" x14ac:dyDescent="0.25">
      <c r="A58" t="str">
        <f t="shared" si="1"/>
        <v>Generic</v>
      </c>
      <c r="B58" t="s">
        <v>445</v>
      </c>
      <c r="C58" t="s">
        <v>109</v>
      </c>
      <c r="D58">
        <v>3.06</v>
      </c>
    </row>
    <row r="59" spans="1:5" x14ac:dyDescent="0.25">
      <c r="A59" t="str">
        <f t="shared" si="1"/>
        <v>Generic</v>
      </c>
      <c r="B59" t="s">
        <v>445</v>
      </c>
      <c r="C59" t="s">
        <v>110</v>
      </c>
      <c r="D59">
        <v>0.78600000000000003</v>
      </c>
    </row>
    <row r="60" spans="1:5" x14ac:dyDescent="0.25">
      <c r="A60" t="str">
        <f t="shared" si="1"/>
        <v>Generic</v>
      </c>
      <c r="B60" t="s">
        <v>445</v>
      </c>
      <c r="C60" t="s">
        <v>111</v>
      </c>
      <c r="D60">
        <v>-3.6999999999999998E-2</v>
      </c>
    </row>
    <row r="61" spans="1:5" x14ac:dyDescent="0.25">
      <c r="A61" t="str">
        <f t="shared" si="1"/>
        <v>Generic</v>
      </c>
      <c r="B61" t="s">
        <v>445</v>
      </c>
      <c r="C61" t="s">
        <v>112</v>
      </c>
      <c r="D61">
        <v>3.7100000000000001E-2</v>
      </c>
    </row>
    <row r="62" spans="1:5" x14ac:dyDescent="0.25">
      <c r="A62" t="str">
        <f t="shared" si="1"/>
        <v>Generic</v>
      </c>
      <c r="B62" t="s">
        <v>445</v>
      </c>
      <c r="C62" t="s">
        <v>113</v>
      </c>
      <c r="D62">
        <v>-0.32</v>
      </c>
    </row>
    <row r="63" spans="1:5" x14ac:dyDescent="0.25">
      <c r="A63" s="1" t="s">
        <v>517</v>
      </c>
      <c r="B63" s="3" t="s">
        <v>430</v>
      </c>
      <c r="C63" s="3" t="s">
        <v>123</v>
      </c>
      <c r="D63" s="3">
        <f>VLOOKUP(E63,$F$23:$G$30,2,FALSE)</f>
        <v>8</v>
      </c>
      <c r="E63" s="3" t="s">
        <v>124</v>
      </c>
    </row>
    <row r="64" spans="1:5" x14ac:dyDescent="0.25">
      <c r="A64" t="str">
        <f t="shared" ref="A64:A107" si="2">A63</f>
        <v>MTH_model</v>
      </c>
      <c r="B64" s="3" t="s">
        <v>430</v>
      </c>
      <c r="C64" s="3" t="s">
        <v>125</v>
      </c>
      <c r="D64" s="3">
        <f>VLOOKUP(E64,$F$23:$G$30,2,FALSE)</f>
        <v>6</v>
      </c>
      <c r="E64" s="3" t="s">
        <v>126</v>
      </c>
    </row>
    <row r="65" spans="1:5" x14ac:dyDescent="0.25">
      <c r="A65" t="str">
        <f t="shared" si="2"/>
        <v>MTH_model</v>
      </c>
      <c r="B65" s="3" t="s">
        <v>430</v>
      </c>
      <c r="C65" s="3" t="s">
        <v>127</v>
      </c>
      <c r="D65" s="3">
        <v>0</v>
      </c>
      <c r="E65" s="3"/>
    </row>
    <row r="66" spans="1:5" x14ac:dyDescent="0.25">
      <c r="A66" t="str">
        <f t="shared" si="2"/>
        <v>MTH_model</v>
      </c>
      <c r="B66" s="3" t="s">
        <v>430</v>
      </c>
      <c r="C66" s="3" t="s">
        <v>128</v>
      </c>
      <c r="D66" s="3">
        <v>40.82</v>
      </c>
      <c r="E66" s="3"/>
    </row>
    <row r="67" spans="1:5" x14ac:dyDescent="0.25">
      <c r="A67" t="str">
        <f t="shared" si="2"/>
        <v>MTH_model</v>
      </c>
      <c r="B67" s="3" t="s">
        <v>430</v>
      </c>
      <c r="C67" s="3" t="s">
        <v>129</v>
      </c>
      <c r="D67" s="3">
        <v>0.46189999999999998</v>
      </c>
      <c r="E67" s="3"/>
    </row>
    <row r="68" spans="1:5" x14ac:dyDescent="0.25">
      <c r="A68" t="str">
        <f t="shared" si="2"/>
        <v>MTH_model</v>
      </c>
      <c r="B68" s="3" t="s">
        <v>431</v>
      </c>
      <c r="C68" s="3" t="s">
        <v>130</v>
      </c>
      <c r="D68" s="3">
        <f>VLOOKUP(E68,$F$23:$G$30,2,FALSE)</f>
        <v>9</v>
      </c>
      <c r="E68" s="3" t="s">
        <v>131</v>
      </c>
    </row>
    <row r="69" spans="1:5" x14ac:dyDescent="0.25">
      <c r="A69" t="str">
        <f t="shared" si="2"/>
        <v>MTH_model</v>
      </c>
      <c r="B69" s="3" t="s">
        <v>431</v>
      </c>
      <c r="C69" s="3" t="s">
        <v>132</v>
      </c>
      <c r="D69" s="3" t="e" vm="1">
        <f>VLOOKUP(E69,$F$23:$G$30,FALSE,2)</f>
        <v>#VALUE!</v>
      </c>
      <c r="E69" s="3" t="s">
        <v>133</v>
      </c>
    </row>
    <row r="70" spans="1:5" x14ac:dyDescent="0.25">
      <c r="A70" t="str">
        <f t="shared" si="2"/>
        <v>MTH_model</v>
      </c>
      <c r="B70" s="3" t="s">
        <v>431</v>
      </c>
      <c r="C70" s="3" t="s">
        <v>134</v>
      </c>
      <c r="D70" s="3">
        <v>38.79</v>
      </c>
      <c r="E70" s="3"/>
    </row>
    <row r="71" spans="1:5" x14ac:dyDescent="0.25">
      <c r="A71" t="str">
        <f t="shared" si="2"/>
        <v>MTH_model</v>
      </c>
      <c r="B71" s="3" t="s">
        <v>431</v>
      </c>
      <c r="C71" s="3" t="s">
        <v>135</v>
      </c>
      <c r="D71" s="3">
        <v>0</v>
      </c>
      <c r="E71" s="3"/>
    </row>
    <row r="72" spans="1:5" x14ac:dyDescent="0.25">
      <c r="A72" t="str">
        <f t="shared" si="2"/>
        <v>MTH_model</v>
      </c>
      <c r="B72" s="3" t="s">
        <v>431</v>
      </c>
      <c r="C72" s="3" t="s">
        <v>136</v>
      </c>
      <c r="D72" s="3">
        <v>1.099</v>
      </c>
      <c r="E72" s="3"/>
    </row>
    <row r="73" spans="1:5" x14ac:dyDescent="0.25">
      <c r="A73" t="str">
        <f t="shared" si="2"/>
        <v>MTH_model</v>
      </c>
      <c r="B73" s="3" t="s">
        <v>432</v>
      </c>
      <c r="C73" s="3" t="s">
        <v>137</v>
      </c>
      <c r="D73" s="3">
        <f>VLOOKUP(E73,$F$23:$G$30,2,FALSE)</f>
        <v>9</v>
      </c>
      <c r="E73" s="3" t="s">
        <v>131</v>
      </c>
    </row>
    <row r="74" spans="1:5" x14ac:dyDescent="0.25">
      <c r="A74" t="str">
        <f t="shared" si="2"/>
        <v>MTH_model</v>
      </c>
      <c r="B74" s="3" t="s">
        <v>432</v>
      </c>
      <c r="C74" s="3" t="s">
        <v>138</v>
      </c>
      <c r="D74" s="3" t="e" vm="1">
        <f>VLOOKUP(E74,$F$23:$G$30,FALSE,2)</f>
        <v>#VALUE!</v>
      </c>
      <c r="E74" s="3" t="s">
        <v>133</v>
      </c>
    </row>
    <row r="75" spans="1:5" x14ac:dyDescent="0.25">
      <c r="A75" t="str">
        <f t="shared" si="2"/>
        <v>MTH_model</v>
      </c>
      <c r="B75" s="3" t="s">
        <v>432</v>
      </c>
      <c r="C75" s="3" t="s">
        <v>139</v>
      </c>
      <c r="D75" s="3">
        <v>47.37</v>
      </c>
      <c r="E75" s="3"/>
    </row>
    <row r="76" spans="1:5" x14ac:dyDescent="0.25">
      <c r="A76" t="str">
        <f t="shared" si="2"/>
        <v>MTH_model</v>
      </c>
      <c r="B76" s="3" t="s">
        <v>432</v>
      </c>
      <c r="C76" s="3" t="s">
        <v>140</v>
      </c>
      <c r="D76" s="3">
        <v>0</v>
      </c>
      <c r="E76" s="3"/>
    </row>
    <row r="77" spans="1:5" x14ac:dyDescent="0.25">
      <c r="A77" t="str">
        <f t="shared" si="2"/>
        <v>MTH_model</v>
      </c>
      <c r="B77" s="3" t="s">
        <v>432</v>
      </c>
      <c r="C77" s="3" t="s">
        <v>141</v>
      </c>
      <c r="D77" s="3">
        <v>1.0620000000000001</v>
      </c>
      <c r="E77" s="3"/>
    </row>
    <row r="78" spans="1:5" x14ac:dyDescent="0.25">
      <c r="A78" t="str">
        <f t="shared" si="2"/>
        <v>MTH_model</v>
      </c>
      <c r="B78" s="3" t="s">
        <v>433</v>
      </c>
      <c r="C78" s="3" t="s">
        <v>142</v>
      </c>
      <c r="D78" s="3">
        <f>VLOOKUP(E78,$F$23:$G$30,2,FALSE)</f>
        <v>9</v>
      </c>
      <c r="E78" s="3" t="s">
        <v>131</v>
      </c>
    </row>
    <row r="79" spans="1:5" x14ac:dyDescent="0.25">
      <c r="A79" t="str">
        <f t="shared" si="2"/>
        <v>MTH_model</v>
      </c>
      <c r="B79" s="3" t="s">
        <v>433</v>
      </c>
      <c r="C79" s="3" t="s">
        <v>143</v>
      </c>
      <c r="D79" s="3">
        <f>VLOOKUP(E79,$F$23:$G$30,2,FALSE)</f>
        <v>4</v>
      </c>
      <c r="E79" s="3" t="s">
        <v>144</v>
      </c>
    </row>
    <row r="80" spans="1:5" x14ac:dyDescent="0.25">
      <c r="A80" t="str">
        <f t="shared" si="2"/>
        <v>MTH_model</v>
      </c>
      <c r="B80" s="3" t="s">
        <v>433</v>
      </c>
      <c r="C80" s="3" t="s">
        <v>145</v>
      </c>
      <c r="D80" s="3">
        <v>0</v>
      </c>
      <c r="E80" s="3"/>
    </row>
    <row r="81" spans="1:5" x14ac:dyDescent="0.25">
      <c r="A81" t="str">
        <f t="shared" si="2"/>
        <v>MTH_model</v>
      </c>
      <c r="B81" s="3" t="s">
        <v>433</v>
      </c>
      <c r="C81" s="3" t="s">
        <v>146</v>
      </c>
      <c r="D81" s="3">
        <v>1.325E-2</v>
      </c>
      <c r="E81" s="3"/>
    </row>
    <row r="82" spans="1:5" x14ac:dyDescent="0.25">
      <c r="A82" t="str">
        <f t="shared" si="2"/>
        <v>MTH_model</v>
      </c>
      <c r="B82" s="3" t="s">
        <v>433</v>
      </c>
      <c r="C82" s="3" t="s">
        <v>147</v>
      </c>
      <c r="D82" s="3">
        <v>0.93020000000000003</v>
      </c>
      <c r="E82" s="3"/>
    </row>
    <row r="83" spans="1:5" x14ac:dyDescent="0.25">
      <c r="A83" t="str">
        <f t="shared" si="2"/>
        <v>MTH_model</v>
      </c>
      <c r="B83" s="3" t="s">
        <v>434</v>
      </c>
      <c r="C83" s="3" t="s">
        <v>148</v>
      </c>
      <c r="D83" s="3">
        <f>VLOOKUP(E83,$F$23:$G$30,2,FALSE)</f>
        <v>8</v>
      </c>
      <c r="E83" s="3" t="s">
        <v>124</v>
      </c>
    </row>
    <row r="84" spans="1:5" x14ac:dyDescent="0.25">
      <c r="A84" t="str">
        <f t="shared" si="2"/>
        <v>MTH_model</v>
      </c>
      <c r="B84" s="3" t="s">
        <v>434</v>
      </c>
      <c r="C84" s="3" t="s">
        <v>149</v>
      </c>
      <c r="D84" s="3" t="e" vm="1">
        <f>VLOOKUP(E84,$F$23:$G$30,FALSE,2)</f>
        <v>#VALUE!</v>
      </c>
      <c r="E84" s="3" t="s">
        <v>133</v>
      </c>
    </row>
    <row r="85" spans="1:5" x14ac:dyDescent="0.25">
      <c r="A85" t="str">
        <f t="shared" si="2"/>
        <v>MTH_model</v>
      </c>
      <c r="B85" s="3" t="s">
        <v>434</v>
      </c>
      <c r="C85" s="3" t="s">
        <v>150</v>
      </c>
      <c r="D85" s="3">
        <v>259.8</v>
      </c>
      <c r="E85" s="3"/>
    </row>
    <row r="86" spans="1:5" x14ac:dyDescent="0.25">
      <c r="A86" t="str">
        <f t="shared" si="2"/>
        <v>MTH_model</v>
      </c>
      <c r="B86" s="3" t="s">
        <v>434</v>
      </c>
      <c r="C86" s="3" t="s">
        <v>151</v>
      </c>
      <c r="D86" s="3">
        <v>0</v>
      </c>
      <c r="E86" s="3"/>
    </row>
    <row r="87" spans="1:5" x14ac:dyDescent="0.25">
      <c r="A87" t="str">
        <f t="shared" si="2"/>
        <v>MTH_model</v>
      </c>
      <c r="B87" s="3" t="s">
        <v>434</v>
      </c>
      <c r="C87" s="3" t="s">
        <v>152</v>
      </c>
      <c r="D87" s="3">
        <v>0.3387</v>
      </c>
      <c r="E87" s="3"/>
    </row>
    <row r="88" spans="1:5" x14ac:dyDescent="0.25">
      <c r="A88" t="str">
        <f t="shared" si="2"/>
        <v>MTH_model</v>
      </c>
      <c r="B88" s="3" t="s">
        <v>435</v>
      </c>
      <c r="C88" s="3" t="s">
        <v>153</v>
      </c>
      <c r="D88" s="3">
        <f>VLOOKUP(E88,$F$23:$G$30,2,FALSE)</f>
        <v>7</v>
      </c>
      <c r="E88" s="3" t="s">
        <v>154</v>
      </c>
    </row>
    <row r="89" spans="1:5" x14ac:dyDescent="0.25">
      <c r="A89" t="str">
        <f t="shared" si="2"/>
        <v>MTH_model</v>
      </c>
      <c r="B89" s="3" t="s">
        <v>435</v>
      </c>
      <c r="C89" s="3" t="s">
        <v>155</v>
      </c>
      <c r="D89" s="3" t="e" vm="1">
        <f>VLOOKUP(E89,$F$23:$G$30,FALSE,2)</f>
        <v>#VALUE!</v>
      </c>
      <c r="E89" s="3" t="s">
        <v>133</v>
      </c>
    </row>
    <row r="90" spans="1:5" x14ac:dyDescent="0.25">
      <c r="A90" t="str">
        <f t="shared" si="2"/>
        <v>MTH_model</v>
      </c>
      <c r="B90" s="3" t="s">
        <v>435</v>
      </c>
      <c r="C90" s="3" t="s">
        <v>156</v>
      </c>
      <c r="D90" s="3">
        <v>62.71</v>
      </c>
      <c r="E90" s="3"/>
    </row>
    <row r="91" spans="1:5" x14ac:dyDescent="0.25">
      <c r="A91" t="str">
        <f t="shared" si="2"/>
        <v>MTH_model</v>
      </c>
      <c r="B91" s="3" t="s">
        <v>435</v>
      </c>
      <c r="C91" s="3" t="s">
        <v>157</v>
      </c>
      <c r="D91" s="3">
        <v>0</v>
      </c>
      <c r="E91" s="3"/>
    </row>
    <row r="92" spans="1:5" x14ac:dyDescent="0.25">
      <c r="A92" t="str">
        <f t="shared" si="2"/>
        <v>MTH_model</v>
      </c>
      <c r="B92" s="3" t="s">
        <v>435</v>
      </c>
      <c r="C92" s="3" t="s">
        <v>158</v>
      </c>
      <c r="D92" s="3">
        <v>1.3919999999999999</v>
      </c>
      <c r="E92" s="3"/>
    </row>
    <row r="93" spans="1:5" x14ac:dyDescent="0.25">
      <c r="A93" t="str">
        <f t="shared" si="2"/>
        <v>MTH_model</v>
      </c>
      <c r="B93" s="3" t="s">
        <v>436</v>
      </c>
      <c r="C93" s="3" t="s">
        <v>159</v>
      </c>
      <c r="D93" s="3">
        <f>VLOOKUP(E93,$F$23:$G$30,2,FALSE)</f>
        <v>8</v>
      </c>
      <c r="E93" s="3" t="s">
        <v>124</v>
      </c>
    </row>
    <row r="94" spans="1:5" x14ac:dyDescent="0.25">
      <c r="A94" t="str">
        <f t="shared" si="2"/>
        <v>MTH_model</v>
      </c>
      <c r="B94" s="3" t="s">
        <v>436</v>
      </c>
      <c r="C94" s="3" t="s">
        <v>160</v>
      </c>
      <c r="D94" s="3" t="e" vm="1">
        <f>VLOOKUP(E94,$F$23:$G$30,FALSE,2)</f>
        <v>#VALUE!</v>
      </c>
      <c r="E94" s="3" t="s">
        <v>133</v>
      </c>
    </row>
    <row r="95" spans="1:5" x14ac:dyDescent="0.25">
      <c r="A95" t="str">
        <f t="shared" si="2"/>
        <v>MTH_model</v>
      </c>
      <c r="B95" s="3" t="s">
        <v>436</v>
      </c>
      <c r="C95" s="3" t="s">
        <v>161</v>
      </c>
      <c r="D95" s="3">
        <v>116.04</v>
      </c>
      <c r="E95" s="3"/>
    </row>
    <row r="96" spans="1:5" x14ac:dyDescent="0.25">
      <c r="A96" t="str">
        <f t="shared" si="2"/>
        <v>MTH_model</v>
      </c>
      <c r="B96" s="3" t="s">
        <v>436</v>
      </c>
      <c r="C96" s="3" t="s">
        <v>162</v>
      </c>
      <c r="D96" s="3">
        <v>0</v>
      </c>
      <c r="E96" s="3"/>
    </row>
    <row r="97" spans="1:5" x14ac:dyDescent="0.25">
      <c r="A97" t="str">
        <f t="shared" si="2"/>
        <v>MTH_model</v>
      </c>
      <c r="B97" s="3" t="s">
        <v>436</v>
      </c>
      <c r="C97" s="3" t="s">
        <v>163</v>
      </c>
      <c r="D97" s="3">
        <v>0.45390000000000003</v>
      </c>
      <c r="E97" s="3"/>
    </row>
    <row r="98" spans="1:5" x14ac:dyDescent="0.25">
      <c r="A98" t="str">
        <f t="shared" si="2"/>
        <v>MTH_model</v>
      </c>
      <c r="B98" s="3" t="s">
        <v>437</v>
      </c>
      <c r="C98" s="3" t="s">
        <v>164</v>
      </c>
      <c r="D98" s="3">
        <f>VLOOKUP(E98,$F$23:$G$30,2,FALSE)</f>
        <v>7</v>
      </c>
      <c r="E98" s="3" t="s">
        <v>154</v>
      </c>
    </row>
    <row r="99" spans="1:5" x14ac:dyDescent="0.25">
      <c r="A99" t="str">
        <f t="shared" si="2"/>
        <v>MTH_model</v>
      </c>
      <c r="B99" s="3" t="s">
        <v>437</v>
      </c>
      <c r="C99" s="3" t="s">
        <v>165</v>
      </c>
      <c r="D99" s="3">
        <f>VLOOKUP(E99,$F$23:$G$30,2,FALSE)</f>
        <v>6</v>
      </c>
      <c r="E99" s="3" t="s">
        <v>126</v>
      </c>
    </row>
    <row r="100" spans="1:5" x14ac:dyDescent="0.25">
      <c r="A100" t="str">
        <f t="shared" si="2"/>
        <v>MTH_model</v>
      </c>
      <c r="B100" s="3" t="s">
        <v>437</v>
      </c>
      <c r="C100" s="3" t="s">
        <v>166</v>
      </c>
      <c r="D100" s="3">
        <v>49.93</v>
      </c>
      <c r="E100" s="3"/>
    </row>
    <row r="101" spans="1:5" x14ac:dyDescent="0.25">
      <c r="A101" t="str">
        <f t="shared" si="2"/>
        <v>MTH_model</v>
      </c>
      <c r="B101" s="3" t="s">
        <v>437</v>
      </c>
      <c r="C101" s="3" t="s">
        <v>167</v>
      </c>
      <c r="D101" s="3">
        <v>829</v>
      </c>
      <c r="E101" s="3"/>
    </row>
    <row r="102" spans="1:5" x14ac:dyDescent="0.25">
      <c r="A102" t="str">
        <f t="shared" si="2"/>
        <v>MTH_model</v>
      </c>
      <c r="B102" s="3" t="s">
        <v>437</v>
      </c>
      <c r="C102" s="3" t="s">
        <v>168</v>
      </c>
      <c r="D102" s="3">
        <v>1.2010000000000001</v>
      </c>
      <c r="E102" s="3"/>
    </row>
    <row r="103" spans="1:5" x14ac:dyDescent="0.25">
      <c r="A103" t="str">
        <f t="shared" si="2"/>
        <v>MTH_model</v>
      </c>
      <c r="B103" s="3" t="s">
        <v>438</v>
      </c>
      <c r="C103" s="3" t="s">
        <v>169</v>
      </c>
      <c r="D103" s="3">
        <f>VLOOKUP(E103,$F$23:$G$30,2,FALSE)</f>
        <v>8</v>
      </c>
      <c r="E103" s="3" t="s">
        <v>124</v>
      </c>
    </row>
    <row r="104" spans="1:5" x14ac:dyDescent="0.25">
      <c r="A104" t="str">
        <f t="shared" si="2"/>
        <v>MTH_model</v>
      </c>
      <c r="B104" s="3" t="s">
        <v>438</v>
      </c>
      <c r="C104" s="3" t="s">
        <v>170</v>
      </c>
      <c r="D104" s="3" t="e" vm="1">
        <f>VLOOKUP(E104,$F$23:$G$30,FALSE,2)</f>
        <v>#VALUE!</v>
      </c>
      <c r="E104" s="3" t="s">
        <v>133</v>
      </c>
    </row>
    <row r="105" spans="1:5" x14ac:dyDescent="0.25">
      <c r="A105" t="str">
        <f t="shared" si="2"/>
        <v>MTH_model</v>
      </c>
      <c r="B105" s="3" t="s">
        <v>438</v>
      </c>
      <c r="C105" s="3" t="s">
        <v>171</v>
      </c>
      <c r="D105" s="3">
        <v>106.03</v>
      </c>
      <c r="E105" s="3"/>
    </row>
    <row r="106" spans="1:5" x14ac:dyDescent="0.25">
      <c r="A106" t="str">
        <f t="shared" si="2"/>
        <v>MTH_model</v>
      </c>
      <c r="B106" s="3" t="s">
        <v>438</v>
      </c>
      <c r="C106" s="3" t="s">
        <v>172</v>
      </c>
      <c r="D106" s="3">
        <v>0</v>
      </c>
      <c r="E106" s="3"/>
    </row>
    <row r="107" spans="1:5" x14ac:dyDescent="0.25">
      <c r="A107" t="str">
        <f t="shared" si="2"/>
        <v>MTH_model</v>
      </c>
      <c r="B107" s="3" t="s">
        <v>438</v>
      </c>
      <c r="C107" s="3" t="s">
        <v>173</v>
      </c>
      <c r="D107" s="3">
        <v>0.45860000000000001</v>
      </c>
      <c r="E107" s="3"/>
    </row>
    <row r="108" spans="1:5" x14ac:dyDescent="0.25">
      <c r="A108" s="4" t="s">
        <v>518</v>
      </c>
      <c r="B108" s="3" t="s">
        <v>430</v>
      </c>
      <c r="C108" s="3" t="s">
        <v>174</v>
      </c>
      <c r="D108" s="3">
        <f>VLOOKUP(E108,$F$23:$G$30,2,FALSE)</f>
        <v>8</v>
      </c>
      <c r="E108" s="3" t="s">
        <v>124</v>
      </c>
    </row>
    <row r="109" spans="1:5" x14ac:dyDescent="0.25">
      <c r="A109" t="str">
        <f t="shared" ref="A109:A152" si="3">A108</f>
        <v>DBH_model</v>
      </c>
      <c r="B109" s="3" t="s">
        <v>430</v>
      </c>
      <c r="C109" s="3" t="s">
        <v>175</v>
      </c>
      <c r="D109" s="3">
        <f>VLOOKUP(E109,$F$23:$G$30,2,FALSE)</f>
        <v>4</v>
      </c>
      <c r="E109" s="3" t="s">
        <v>144</v>
      </c>
    </row>
    <row r="110" spans="1:5" x14ac:dyDescent="0.25">
      <c r="A110" t="str">
        <f t="shared" si="3"/>
        <v>DBH_model</v>
      </c>
      <c r="B110" s="3" t="s">
        <v>430</v>
      </c>
      <c r="C110" s="3" t="s">
        <v>176</v>
      </c>
      <c r="D110" s="3">
        <v>0</v>
      </c>
      <c r="E110" s="3"/>
    </row>
    <row r="111" spans="1:5" x14ac:dyDescent="0.25">
      <c r="A111" t="str">
        <f t="shared" si="3"/>
        <v>DBH_model</v>
      </c>
      <c r="B111" s="3" t="s">
        <v>430</v>
      </c>
      <c r="C111" s="3" t="s">
        <v>177</v>
      </c>
      <c r="D111" s="3">
        <v>5.6289999999999996</v>
      </c>
      <c r="E111" s="3"/>
    </row>
    <row r="112" spans="1:5" x14ac:dyDescent="0.25">
      <c r="A112" t="str">
        <f t="shared" si="3"/>
        <v>DBH_model</v>
      </c>
      <c r="B112" s="3" t="s">
        <v>430</v>
      </c>
      <c r="C112" s="3" t="s">
        <v>178</v>
      </c>
      <c r="D112" s="3">
        <v>0.44</v>
      </c>
      <c r="E112" s="3"/>
    </row>
    <row r="113" spans="1:5" x14ac:dyDescent="0.25">
      <c r="A113" t="str">
        <f t="shared" si="3"/>
        <v>DBH_model</v>
      </c>
      <c r="B113" s="3" t="s">
        <v>431</v>
      </c>
      <c r="C113" s="3" t="s">
        <v>179</v>
      </c>
      <c r="D113" s="3">
        <f>VLOOKUP(E113,$F$23:$G$30,2,FALSE)</f>
        <v>8</v>
      </c>
      <c r="E113" s="3" t="s">
        <v>124</v>
      </c>
    </row>
    <row r="114" spans="1:5" x14ac:dyDescent="0.25">
      <c r="A114" t="str">
        <f t="shared" si="3"/>
        <v>DBH_model</v>
      </c>
      <c r="B114" s="3" t="s">
        <v>431</v>
      </c>
      <c r="C114" s="3" t="s">
        <v>180</v>
      </c>
      <c r="D114" s="3" t="e" vm="1">
        <f>VLOOKUP(E114,$F$23:$G$30,FALSE,2)</f>
        <v>#VALUE!</v>
      </c>
      <c r="E114" s="3" t="s">
        <v>133</v>
      </c>
    </row>
    <row r="115" spans="1:5" x14ac:dyDescent="0.25">
      <c r="A115" t="str">
        <f t="shared" si="3"/>
        <v>DBH_model</v>
      </c>
      <c r="B115" s="3" t="s">
        <v>431</v>
      </c>
      <c r="C115" s="3" t="s">
        <v>181</v>
      </c>
      <c r="D115" s="3">
        <v>83.28</v>
      </c>
      <c r="E115" s="3"/>
    </row>
    <row r="116" spans="1:5" x14ac:dyDescent="0.25">
      <c r="A116" t="str">
        <f t="shared" si="3"/>
        <v>DBH_model</v>
      </c>
      <c r="B116" s="3" t="s">
        <v>431</v>
      </c>
      <c r="C116" s="3" t="s">
        <v>182</v>
      </c>
      <c r="D116" s="3">
        <v>0</v>
      </c>
      <c r="E116" s="3"/>
    </row>
    <row r="117" spans="1:5" x14ac:dyDescent="0.25">
      <c r="A117" t="str">
        <f t="shared" si="3"/>
        <v>DBH_model</v>
      </c>
      <c r="B117" s="3" t="s">
        <v>431</v>
      </c>
      <c r="C117" s="3" t="s">
        <v>183</v>
      </c>
      <c r="D117" s="3">
        <v>0.69740000000000002</v>
      </c>
      <c r="E117" s="3"/>
    </row>
    <row r="118" spans="1:5" x14ac:dyDescent="0.25">
      <c r="A118" t="str">
        <f t="shared" si="3"/>
        <v>DBH_model</v>
      </c>
      <c r="B118" s="3" t="s">
        <v>432</v>
      </c>
      <c r="C118" s="3" t="s">
        <v>184</v>
      </c>
      <c r="D118" s="3">
        <f>VLOOKUP(E118,$F$23:$G$30,2,FALSE)</f>
        <v>8</v>
      </c>
      <c r="E118" s="3" t="s">
        <v>124</v>
      </c>
    </row>
    <row r="119" spans="1:5" x14ac:dyDescent="0.25">
      <c r="A119" t="str">
        <f t="shared" si="3"/>
        <v>DBH_model</v>
      </c>
      <c r="B119" s="3" t="s">
        <v>432</v>
      </c>
      <c r="C119" s="3" t="s">
        <v>185</v>
      </c>
      <c r="D119" s="3" t="e" vm="1">
        <f>VLOOKUP(E119,$F$23:$G$30,FALSE,2)</f>
        <v>#VALUE!</v>
      </c>
      <c r="E119" s="3" t="s">
        <v>133</v>
      </c>
    </row>
    <row r="120" spans="1:5" x14ac:dyDescent="0.25">
      <c r="A120" t="str">
        <f t="shared" si="3"/>
        <v>DBH_model</v>
      </c>
      <c r="B120" s="3" t="s">
        <v>432</v>
      </c>
      <c r="C120" s="3" t="s">
        <v>186</v>
      </c>
      <c r="D120" s="3">
        <v>83.14</v>
      </c>
      <c r="E120" s="3"/>
    </row>
    <row r="121" spans="1:5" x14ac:dyDescent="0.25">
      <c r="A121" t="str">
        <f t="shared" si="3"/>
        <v>DBH_model</v>
      </c>
      <c r="B121" s="3" t="s">
        <v>432</v>
      </c>
      <c r="C121" s="3" t="s">
        <v>187</v>
      </c>
      <c r="D121" s="3">
        <v>0</v>
      </c>
      <c r="E121" s="3"/>
    </row>
    <row r="122" spans="1:5" x14ac:dyDescent="0.25">
      <c r="A122" t="str">
        <f t="shared" si="3"/>
        <v>DBH_model</v>
      </c>
      <c r="B122" s="3" t="s">
        <v>432</v>
      </c>
      <c r="C122" s="3" t="s">
        <v>188</v>
      </c>
      <c r="D122" s="3">
        <v>0.71</v>
      </c>
      <c r="E122" s="3"/>
    </row>
    <row r="123" spans="1:5" x14ac:dyDescent="0.25">
      <c r="A123" t="str">
        <f t="shared" si="3"/>
        <v>DBH_model</v>
      </c>
      <c r="B123" s="3" t="s">
        <v>433</v>
      </c>
      <c r="C123" s="3" t="s">
        <v>189</v>
      </c>
      <c r="D123" s="3">
        <f>VLOOKUP(E123,$F$23:$G$30,2,FALSE)</f>
        <v>9</v>
      </c>
      <c r="E123" s="3" t="s">
        <v>131</v>
      </c>
    </row>
    <row r="124" spans="1:5" x14ac:dyDescent="0.25">
      <c r="A124" t="str">
        <f t="shared" si="3"/>
        <v>DBH_model</v>
      </c>
      <c r="B124" s="3" t="s">
        <v>433</v>
      </c>
      <c r="C124" s="3" t="s">
        <v>190</v>
      </c>
      <c r="D124" s="3">
        <f>VLOOKUP(E124,$F$23:$G$30,2,FALSE)</f>
        <v>4</v>
      </c>
      <c r="E124" s="3" t="s">
        <v>144</v>
      </c>
    </row>
    <row r="125" spans="1:5" x14ac:dyDescent="0.25">
      <c r="A125" t="str">
        <f t="shared" si="3"/>
        <v>DBH_model</v>
      </c>
      <c r="B125" s="3" t="s">
        <v>433</v>
      </c>
      <c r="C125" s="3" t="s">
        <v>191</v>
      </c>
      <c r="D125" s="3">
        <v>0</v>
      </c>
      <c r="E125" s="3"/>
    </row>
    <row r="126" spans="1:5" x14ac:dyDescent="0.25">
      <c r="A126" t="str">
        <f t="shared" si="3"/>
        <v>DBH_model</v>
      </c>
      <c r="B126" s="3" t="s">
        <v>433</v>
      </c>
      <c r="C126" s="3" t="s">
        <v>192</v>
      </c>
      <c r="D126" s="3">
        <v>3.2939999999999997E-2</v>
      </c>
      <c r="E126" s="3"/>
    </row>
    <row r="127" spans="1:5" x14ac:dyDescent="0.25">
      <c r="A127" t="str">
        <f t="shared" si="3"/>
        <v>DBH_model</v>
      </c>
      <c r="B127" s="3" t="s">
        <v>433</v>
      </c>
      <c r="C127" s="3" t="s">
        <v>193</v>
      </c>
      <c r="D127" s="3">
        <v>0.97360000000000002</v>
      </c>
      <c r="E127" s="3"/>
    </row>
    <row r="128" spans="1:5" x14ac:dyDescent="0.25">
      <c r="A128" t="str">
        <f t="shared" si="3"/>
        <v>DBH_model</v>
      </c>
      <c r="B128" s="3" t="s">
        <v>434</v>
      </c>
      <c r="C128" s="3" t="s">
        <v>194</v>
      </c>
      <c r="D128" s="3">
        <f>VLOOKUP(E128,$F$23:$G$30,2,FALSE)</f>
        <v>8</v>
      </c>
      <c r="E128" s="3" t="s">
        <v>124</v>
      </c>
    </row>
    <row r="129" spans="1:5" x14ac:dyDescent="0.25">
      <c r="A129" t="str">
        <f t="shared" si="3"/>
        <v>DBH_model</v>
      </c>
      <c r="B129" s="3" t="s">
        <v>434</v>
      </c>
      <c r="C129" s="3" t="s">
        <v>195</v>
      </c>
      <c r="D129" s="3">
        <f>VLOOKUP(E129,$F$23:$G$30,2,FALSE)</f>
        <v>4</v>
      </c>
      <c r="E129" s="3" t="s">
        <v>144</v>
      </c>
    </row>
    <row r="130" spans="1:5" x14ac:dyDescent="0.25">
      <c r="A130" t="str">
        <f t="shared" si="3"/>
        <v>DBH_model</v>
      </c>
      <c r="B130" s="3" t="s">
        <v>434</v>
      </c>
      <c r="C130" s="3" t="s">
        <v>196</v>
      </c>
      <c r="D130" s="3">
        <v>0</v>
      </c>
      <c r="E130" s="3"/>
    </row>
    <row r="131" spans="1:5" x14ac:dyDescent="0.25">
      <c r="A131" t="str">
        <f t="shared" si="3"/>
        <v>DBH_model</v>
      </c>
      <c r="B131" s="3" t="s">
        <v>434</v>
      </c>
      <c r="C131" s="3" t="s">
        <v>197</v>
      </c>
      <c r="D131" s="3">
        <v>4.298</v>
      </c>
      <c r="E131" s="3"/>
    </row>
    <row r="132" spans="1:5" x14ac:dyDescent="0.25">
      <c r="A132" t="str">
        <f t="shared" si="3"/>
        <v>DBH_model</v>
      </c>
      <c r="B132" s="3" t="s">
        <v>434</v>
      </c>
      <c r="C132" s="3" t="s">
        <v>198</v>
      </c>
      <c r="D132" s="3">
        <v>0.32579999999999998</v>
      </c>
      <c r="E132" s="3"/>
    </row>
    <row r="133" spans="1:5" x14ac:dyDescent="0.25">
      <c r="A133" t="str">
        <f t="shared" si="3"/>
        <v>DBH_model</v>
      </c>
      <c r="B133" s="3" t="s">
        <v>435</v>
      </c>
      <c r="C133" s="3" t="s">
        <v>199</v>
      </c>
      <c r="D133" s="3">
        <f>VLOOKUP(E133,$F$23:$G$30,2,FALSE)</f>
        <v>8</v>
      </c>
      <c r="E133" s="3" t="s">
        <v>124</v>
      </c>
    </row>
    <row r="134" spans="1:5" x14ac:dyDescent="0.25">
      <c r="A134" t="str">
        <f t="shared" si="3"/>
        <v>DBH_model</v>
      </c>
      <c r="B134" s="3" t="s">
        <v>435</v>
      </c>
      <c r="C134" s="3" t="s">
        <v>200</v>
      </c>
      <c r="D134" s="3">
        <f>VLOOKUP(E134,$F$23:$G$30,2,FALSE)</f>
        <v>6</v>
      </c>
      <c r="E134" s="3" t="s">
        <v>126</v>
      </c>
    </row>
    <row r="135" spans="1:5" x14ac:dyDescent="0.25">
      <c r="A135" t="str">
        <f t="shared" si="3"/>
        <v>DBH_model</v>
      </c>
      <c r="B135" s="3" t="s">
        <v>435</v>
      </c>
      <c r="C135" s="3" t="s">
        <v>201</v>
      </c>
      <c r="D135" s="3">
        <v>0</v>
      </c>
      <c r="E135" s="3"/>
    </row>
    <row r="136" spans="1:5" x14ac:dyDescent="0.25">
      <c r="A136" t="str">
        <f t="shared" si="3"/>
        <v>DBH_model</v>
      </c>
      <c r="B136" s="3" t="s">
        <v>435</v>
      </c>
      <c r="C136" s="3" t="s">
        <v>202</v>
      </c>
      <c r="D136" s="3">
        <v>22.62</v>
      </c>
      <c r="E136" s="3"/>
    </row>
    <row r="137" spans="1:5" x14ac:dyDescent="0.25">
      <c r="A137" t="str">
        <f t="shared" si="3"/>
        <v>DBH_model</v>
      </c>
      <c r="B137" s="3" t="s">
        <v>435</v>
      </c>
      <c r="C137" s="3" t="s">
        <v>203</v>
      </c>
      <c r="D137" s="3">
        <v>0.44840000000000002</v>
      </c>
      <c r="E137" s="3"/>
    </row>
    <row r="138" spans="1:5" x14ac:dyDescent="0.25">
      <c r="A138" t="str">
        <f t="shared" si="3"/>
        <v>DBH_model</v>
      </c>
      <c r="B138" s="3" t="s">
        <v>436</v>
      </c>
      <c r="C138" s="3" t="s">
        <v>204</v>
      </c>
      <c r="D138" s="3">
        <f>VLOOKUP(E138,$F$23:$G$30,2,FALSE)</f>
        <v>9</v>
      </c>
      <c r="E138" s="3" t="s">
        <v>131</v>
      </c>
    </row>
    <row r="139" spans="1:5" x14ac:dyDescent="0.25">
      <c r="A139" t="str">
        <f t="shared" si="3"/>
        <v>DBH_model</v>
      </c>
      <c r="B139" s="3" t="s">
        <v>436</v>
      </c>
      <c r="C139" s="3" t="s">
        <v>205</v>
      </c>
      <c r="D139" s="3">
        <f>VLOOKUP(E139,$F$23:$G$30,2,FALSE)</f>
        <v>4</v>
      </c>
      <c r="E139" s="3" t="s">
        <v>144</v>
      </c>
    </row>
    <row r="140" spans="1:5" x14ac:dyDescent="0.25">
      <c r="A140" t="str">
        <f t="shared" si="3"/>
        <v>DBH_model</v>
      </c>
      <c r="B140" s="3" t="s">
        <v>436</v>
      </c>
      <c r="C140" s="3" t="s">
        <v>206</v>
      </c>
      <c r="D140" s="3">
        <v>0</v>
      </c>
      <c r="E140" s="3"/>
    </row>
    <row r="141" spans="1:5" x14ac:dyDescent="0.25">
      <c r="A141" t="str">
        <f t="shared" si="3"/>
        <v>DBH_model</v>
      </c>
      <c r="B141" s="3" t="s">
        <v>436</v>
      </c>
      <c r="C141" s="3" t="s">
        <v>207</v>
      </c>
      <c r="D141" s="3">
        <v>6.8080000000000002E-2</v>
      </c>
      <c r="E141" s="3"/>
    </row>
    <row r="142" spans="1:5" x14ac:dyDescent="0.25">
      <c r="A142" t="str">
        <f t="shared" si="3"/>
        <v>DBH_model</v>
      </c>
      <c r="B142" s="3" t="s">
        <v>436</v>
      </c>
      <c r="C142" s="3" t="s">
        <v>208</v>
      </c>
      <c r="D142" s="3">
        <v>1.0732999999999999</v>
      </c>
      <c r="E142" s="3"/>
    </row>
    <row r="143" spans="1:5" x14ac:dyDescent="0.25">
      <c r="A143" t="str">
        <f t="shared" si="3"/>
        <v>DBH_model</v>
      </c>
      <c r="B143" s="3" t="s">
        <v>437</v>
      </c>
      <c r="C143" s="3" t="s">
        <v>209</v>
      </c>
      <c r="D143" s="3">
        <f>VLOOKUP(E143,$F$23:$G$30,2,FALSE)</f>
        <v>8</v>
      </c>
      <c r="E143" s="3" t="s">
        <v>124</v>
      </c>
    </row>
    <row r="144" spans="1:5" x14ac:dyDescent="0.25">
      <c r="A144" t="str">
        <f t="shared" si="3"/>
        <v>DBH_model</v>
      </c>
      <c r="B144" s="3" t="s">
        <v>437</v>
      </c>
      <c r="C144" s="3" t="s">
        <v>210</v>
      </c>
      <c r="D144" s="3">
        <f>VLOOKUP(E144,$F$23:$G$30,2,FALSE)</f>
        <v>4</v>
      </c>
      <c r="E144" s="3" t="s">
        <v>144</v>
      </c>
    </row>
    <row r="145" spans="1:6" x14ac:dyDescent="0.25">
      <c r="A145" t="str">
        <f t="shared" si="3"/>
        <v>DBH_model</v>
      </c>
      <c r="B145" s="3" t="s">
        <v>437</v>
      </c>
      <c r="C145" s="3" t="s">
        <v>211</v>
      </c>
      <c r="D145" s="3">
        <v>0</v>
      </c>
      <c r="E145" s="3"/>
    </row>
    <row r="146" spans="1:6" x14ac:dyDescent="0.25">
      <c r="A146" t="str">
        <f t="shared" si="3"/>
        <v>DBH_model</v>
      </c>
      <c r="B146" s="3" t="s">
        <v>437</v>
      </c>
      <c r="C146" s="3" t="s">
        <v>212</v>
      </c>
      <c r="D146" s="3">
        <v>5.0369999999999999</v>
      </c>
      <c r="E146" s="3"/>
    </row>
    <row r="147" spans="1:6" x14ac:dyDescent="0.25">
      <c r="A147" t="str">
        <f t="shared" si="3"/>
        <v>DBH_model</v>
      </c>
      <c r="B147" s="3" t="s">
        <v>437</v>
      </c>
      <c r="C147" s="3" t="s">
        <v>213</v>
      </c>
      <c r="D147" s="3">
        <v>0.36009999999999998</v>
      </c>
      <c r="E147" s="3"/>
    </row>
    <row r="148" spans="1:6" x14ac:dyDescent="0.25">
      <c r="A148" t="str">
        <f t="shared" si="3"/>
        <v>DBH_model</v>
      </c>
      <c r="B148" s="3" t="s">
        <v>438</v>
      </c>
      <c r="C148" s="3" t="s">
        <v>214</v>
      </c>
      <c r="D148" s="3">
        <f>VLOOKUP(E148,$F$23:$G$30,2,FALSE)</f>
        <v>8</v>
      </c>
      <c r="E148" s="3" t="s">
        <v>124</v>
      </c>
    </row>
    <row r="149" spans="1:6" x14ac:dyDescent="0.25">
      <c r="A149" t="str">
        <f t="shared" si="3"/>
        <v>DBH_model</v>
      </c>
      <c r="B149" s="3" t="s">
        <v>438</v>
      </c>
      <c r="C149" s="3" t="s">
        <v>215</v>
      </c>
      <c r="D149" s="3">
        <f>VLOOKUP(E149,$F$23:$G$30,2,FALSE)</f>
        <v>6</v>
      </c>
      <c r="E149" s="3" t="s">
        <v>126</v>
      </c>
      <c r="F149" s="3"/>
    </row>
    <row r="150" spans="1:6" x14ac:dyDescent="0.25">
      <c r="A150" t="str">
        <f t="shared" si="3"/>
        <v>DBH_model</v>
      </c>
      <c r="B150" s="3" t="s">
        <v>438</v>
      </c>
      <c r="C150" s="3" t="s">
        <v>216</v>
      </c>
      <c r="D150" s="3">
        <v>0</v>
      </c>
      <c r="E150" s="3"/>
    </row>
    <row r="151" spans="1:6" x14ac:dyDescent="0.25">
      <c r="A151" t="str">
        <f t="shared" si="3"/>
        <v>DBH_model</v>
      </c>
      <c r="B151" s="3" t="s">
        <v>438</v>
      </c>
      <c r="C151" s="3" t="s">
        <v>217</v>
      </c>
      <c r="D151" s="3">
        <v>18.13</v>
      </c>
      <c r="E151" s="3"/>
    </row>
    <row r="152" spans="1:6" x14ac:dyDescent="0.25">
      <c r="A152" t="str">
        <f t="shared" si="3"/>
        <v>DBH_model</v>
      </c>
      <c r="B152" s="3" t="s">
        <v>438</v>
      </c>
      <c r="C152" s="3" t="s">
        <v>218</v>
      </c>
      <c r="D152" s="3">
        <v>0.42709999999999998</v>
      </c>
      <c r="E152" s="3"/>
    </row>
    <row r="153" spans="1:6" x14ac:dyDescent="0.25">
      <c r="A153" s="1" t="s">
        <v>519</v>
      </c>
      <c r="B153" s="3" t="s">
        <v>430</v>
      </c>
      <c r="C153" s="3" t="s">
        <v>219</v>
      </c>
      <c r="D153" s="3">
        <v>0.56630000000000003</v>
      </c>
      <c r="E153" s="3"/>
    </row>
    <row r="154" spans="1:6" x14ac:dyDescent="0.25">
      <c r="A154" t="str">
        <f t="shared" ref="A154:A197" si="4">A153</f>
        <v>DBH_stand_density_adjustment_model</v>
      </c>
      <c r="B154" s="3" t="s">
        <v>430</v>
      </c>
      <c r="C154" s="3" t="s">
        <v>220</v>
      </c>
      <c r="D154" s="3">
        <v>9.1200000000000003E-2</v>
      </c>
      <c r="E154" s="3"/>
    </row>
    <row r="155" spans="1:6" x14ac:dyDescent="0.25">
      <c r="A155" t="str">
        <f t="shared" si="4"/>
        <v>DBH_stand_density_adjustment_model</v>
      </c>
      <c r="B155" s="3" t="s">
        <v>430</v>
      </c>
      <c r="C155" s="3" t="s">
        <v>221</v>
      </c>
      <c r="D155" s="3">
        <v>39.94</v>
      </c>
      <c r="E155" s="3"/>
    </row>
    <row r="156" spans="1:6" x14ac:dyDescent="0.25">
      <c r="A156" t="str">
        <f t="shared" si="4"/>
        <v>DBH_stand_density_adjustment_model</v>
      </c>
      <c r="B156" s="3" t="s">
        <v>430</v>
      </c>
      <c r="C156" s="3" t="s">
        <v>222</v>
      </c>
      <c r="D156" s="3">
        <v>0.73499999999999999</v>
      </c>
      <c r="E156" s="3"/>
    </row>
    <row r="157" spans="1:6" x14ac:dyDescent="0.25">
      <c r="A157" t="str">
        <f t="shared" si="4"/>
        <v>DBH_stand_density_adjustment_model</v>
      </c>
      <c r="B157" s="3" t="s">
        <v>430</v>
      </c>
      <c r="C157" s="3" t="s">
        <v>223</v>
      </c>
      <c r="D157" s="3">
        <v>0</v>
      </c>
      <c r="E157" s="3"/>
    </row>
    <row r="158" spans="1:6" x14ac:dyDescent="0.25">
      <c r="A158" t="str">
        <f t="shared" si="4"/>
        <v>DBH_stand_density_adjustment_model</v>
      </c>
      <c r="B158" s="3" t="s">
        <v>431</v>
      </c>
      <c r="C158" s="3" t="s">
        <v>224</v>
      </c>
      <c r="D158" s="3">
        <v>0.3659</v>
      </c>
      <c r="E158" s="3"/>
    </row>
    <row r="159" spans="1:6" x14ac:dyDescent="0.25">
      <c r="A159" t="str">
        <f t="shared" si="4"/>
        <v>DBH_stand_density_adjustment_model</v>
      </c>
      <c r="B159" s="3" t="s">
        <v>431</v>
      </c>
      <c r="C159" s="3" t="s">
        <v>225</v>
      </c>
      <c r="D159" s="3">
        <v>0.46239999999999998</v>
      </c>
      <c r="E159" s="3"/>
    </row>
    <row r="160" spans="1:6" x14ac:dyDescent="0.25">
      <c r="A160" t="str">
        <f t="shared" si="4"/>
        <v>DBH_stand_density_adjustment_model</v>
      </c>
      <c r="B160" s="3" t="s">
        <v>431</v>
      </c>
      <c r="C160" s="3" t="s">
        <v>226</v>
      </c>
      <c r="D160" s="3">
        <v>32.020000000000003</v>
      </c>
      <c r="E160" s="3"/>
    </row>
    <row r="161" spans="1:5" x14ac:dyDescent="0.25">
      <c r="A161" t="str">
        <f t="shared" si="4"/>
        <v>DBH_stand_density_adjustment_model</v>
      </c>
      <c r="B161" s="3" t="s">
        <v>431</v>
      </c>
      <c r="C161" s="3" t="s">
        <v>227</v>
      </c>
      <c r="D161" s="3">
        <v>0</v>
      </c>
      <c r="E161" s="3"/>
    </row>
    <row r="162" spans="1:5" x14ac:dyDescent="0.25">
      <c r="A162" t="str">
        <f t="shared" si="4"/>
        <v>DBH_stand_density_adjustment_model</v>
      </c>
      <c r="B162" s="3" t="s">
        <v>431</v>
      </c>
      <c r="C162" s="3" t="s">
        <v>228</v>
      </c>
      <c r="D162" s="3">
        <v>-2.39</v>
      </c>
      <c r="E162" s="3"/>
    </row>
    <row r="163" spans="1:5" x14ac:dyDescent="0.25">
      <c r="A163" t="str">
        <f t="shared" si="4"/>
        <v>DBH_stand_density_adjustment_model</v>
      </c>
      <c r="B163" s="3" t="s">
        <v>432</v>
      </c>
      <c r="C163" s="3" t="s">
        <v>229</v>
      </c>
      <c r="D163" s="3">
        <v>0.42130000000000001</v>
      </c>
      <c r="E163" s="3"/>
    </row>
    <row r="164" spans="1:5" x14ac:dyDescent="0.25">
      <c r="A164" t="str">
        <f t="shared" si="4"/>
        <v>DBH_stand_density_adjustment_model</v>
      </c>
      <c r="B164" s="3" t="s">
        <v>432</v>
      </c>
      <c r="C164" s="3" t="s">
        <v>230</v>
      </c>
      <c r="D164" s="3">
        <v>0.26450000000000001</v>
      </c>
      <c r="E164" s="3"/>
    </row>
    <row r="165" spans="1:5" x14ac:dyDescent="0.25">
      <c r="A165" t="str">
        <f t="shared" si="4"/>
        <v>DBH_stand_density_adjustment_model</v>
      </c>
      <c r="B165" s="3" t="s">
        <v>432</v>
      </c>
      <c r="C165" s="3" t="s">
        <v>231</v>
      </c>
      <c r="D165" s="3">
        <v>20.66</v>
      </c>
      <c r="E165" s="3"/>
    </row>
    <row r="166" spans="1:5" x14ac:dyDescent="0.25">
      <c r="A166" t="str">
        <f t="shared" si="4"/>
        <v>DBH_stand_density_adjustment_model</v>
      </c>
      <c r="B166" s="3" t="s">
        <v>432</v>
      </c>
      <c r="C166" s="3" t="s">
        <v>232</v>
      </c>
      <c r="D166" s="3">
        <v>0</v>
      </c>
      <c r="E166" s="3"/>
    </row>
    <row r="167" spans="1:5" x14ac:dyDescent="0.25">
      <c r="A167" t="str">
        <f t="shared" si="4"/>
        <v>DBH_stand_density_adjustment_model</v>
      </c>
      <c r="B167" s="3" t="s">
        <v>432</v>
      </c>
      <c r="C167" s="3" t="s">
        <v>233</v>
      </c>
      <c r="D167" s="3">
        <v>-0.62</v>
      </c>
      <c r="E167" s="3"/>
    </row>
    <row r="168" spans="1:5" x14ac:dyDescent="0.25">
      <c r="A168" t="str">
        <f t="shared" si="4"/>
        <v>DBH_stand_density_adjustment_model</v>
      </c>
      <c r="B168" s="3" t="s">
        <v>433</v>
      </c>
      <c r="C168" s="3" t="s">
        <v>234</v>
      </c>
      <c r="D168" s="3">
        <v>0.19939999999999999</v>
      </c>
      <c r="E168" s="3"/>
    </row>
    <row r="169" spans="1:5" x14ac:dyDescent="0.25">
      <c r="A169" t="str">
        <f t="shared" si="4"/>
        <v>DBH_stand_density_adjustment_model</v>
      </c>
      <c r="B169" s="3" t="s">
        <v>433</v>
      </c>
      <c r="C169" s="3" t="s">
        <v>235</v>
      </c>
      <c r="D169" s="3">
        <v>0.5</v>
      </c>
      <c r="E169" s="3"/>
    </row>
    <row r="170" spans="1:5" x14ac:dyDescent="0.25">
      <c r="A170" t="str">
        <f t="shared" si="4"/>
        <v>DBH_stand_density_adjustment_model</v>
      </c>
      <c r="B170" s="3" t="s">
        <v>433</v>
      </c>
      <c r="C170" s="3" t="s">
        <v>236</v>
      </c>
      <c r="D170" s="3">
        <v>10.88</v>
      </c>
      <c r="E170" s="3"/>
    </row>
    <row r="171" spans="1:5" x14ac:dyDescent="0.25">
      <c r="A171" t="str">
        <f t="shared" si="4"/>
        <v>DBH_stand_density_adjustment_model</v>
      </c>
      <c r="B171" s="3" t="s">
        <v>433</v>
      </c>
      <c r="C171" s="3" t="s">
        <v>237</v>
      </c>
      <c r="D171" s="3">
        <v>4.5699999999999998E-2</v>
      </c>
      <c r="E171" s="3"/>
    </row>
    <row r="172" spans="1:5" x14ac:dyDescent="0.25">
      <c r="A172" t="str">
        <f t="shared" si="4"/>
        <v>DBH_stand_density_adjustment_model</v>
      </c>
      <c r="B172" s="3" t="s">
        <v>433</v>
      </c>
      <c r="C172" s="3" t="s">
        <v>238</v>
      </c>
      <c r="D172" s="3">
        <v>0</v>
      </c>
      <c r="E172" s="3"/>
    </row>
    <row r="173" spans="1:5" x14ac:dyDescent="0.25">
      <c r="A173" t="str">
        <f t="shared" si="4"/>
        <v>DBH_stand_density_adjustment_model</v>
      </c>
      <c r="B173" s="3" t="s">
        <v>434</v>
      </c>
      <c r="C173" s="3" t="s">
        <v>239</v>
      </c>
      <c r="D173" s="3">
        <v>0.36969999999999997</v>
      </c>
      <c r="E173" s="3"/>
    </row>
    <row r="174" spans="1:5" x14ac:dyDescent="0.25">
      <c r="A174" t="str">
        <f t="shared" si="4"/>
        <v>DBH_stand_density_adjustment_model</v>
      </c>
      <c r="B174" s="3" t="s">
        <v>434</v>
      </c>
      <c r="C174" s="3" t="s">
        <v>240</v>
      </c>
      <c r="D174" s="3">
        <v>0.19900000000000001</v>
      </c>
      <c r="E174" s="3"/>
    </row>
    <row r="175" spans="1:5" x14ac:dyDescent="0.25">
      <c r="A175" t="str">
        <f t="shared" si="4"/>
        <v>DBH_stand_density_adjustment_model</v>
      </c>
      <c r="B175" s="3" t="s">
        <v>434</v>
      </c>
      <c r="C175" s="3" t="s">
        <v>241</v>
      </c>
      <c r="D175" s="3">
        <v>12.34</v>
      </c>
      <c r="E175" s="3"/>
    </row>
    <row r="176" spans="1:5" x14ac:dyDescent="0.25">
      <c r="A176" t="str">
        <f t="shared" si="4"/>
        <v>DBH_stand_density_adjustment_model</v>
      </c>
      <c r="B176" s="3" t="s">
        <v>434</v>
      </c>
      <c r="C176" s="3" t="s">
        <v>242</v>
      </c>
      <c r="D176" s="3">
        <v>0.39979999999999999</v>
      </c>
      <c r="E176" s="3"/>
    </row>
    <row r="177" spans="1:5" x14ac:dyDescent="0.25">
      <c r="A177" t="str">
        <f t="shared" si="4"/>
        <v>DBH_stand_density_adjustment_model</v>
      </c>
      <c r="B177" s="3" t="s">
        <v>434</v>
      </c>
      <c r="C177" s="3" t="s">
        <v>243</v>
      </c>
      <c r="D177" s="3">
        <v>0</v>
      </c>
      <c r="E177" s="3"/>
    </row>
    <row r="178" spans="1:5" x14ac:dyDescent="0.25">
      <c r="A178" t="str">
        <f t="shared" si="4"/>
        <v>DBH_stand_density_adjustment_model</v>
      </c>
      <c r="B178" s="3" t="s">
        <v>435</v>
      </c>
      <c r="C178" s="3" t="s">
        <v>244</v>
      </c>
      <c r="D178" s="3">
        <v>0.40500000000000003</v>
      </c>
      <c r="E178" s="3"/>
    </row>
    <row r="179" spans="1:5" x14ac:dyDescent="0.25">
      <c r="A179" t="str">
        <f t="shared" si="4"/>
        <v>DBH_stand_density_adjustment_model</v>
      </c>
      <c r="B179" s="3" t="s">
        <v>435</v>
      </c>
      <c r="C179" s="3" t="s">
        <v>245</v>
      </c>
      <c r="D179" s="3">
        <v>0.14099999999999999</v>
      </c>
      <c r="E179" s="3"/>
    </row>
    <row r="180" spans="1:5" x14ac:dyDescent="0.25">
      <c r="A180" t="str">
        <f t="shared" si="4"/>
        <v>DBH_stand_density_adjustment_model</v>
      </c>
      <c r="B180" s="3" t="s">
        <v>435</v>
      </c>
      <c r="C180" s="3" t="s">
        <v>246</v>
      </c>
      <c r="D180" s="3">
        <v>16.84</v>
      </c>
      <c r="E180" s="3"/>
    </row>
    <row r="181" spans="1:5" x14ac:dyDescent="0.25">
      <c r="A181" t="str">
        <f t="shared" si="4"/>
        <v>DBH_stand_density_adjustment_model</v>
      </c>
      <c r="B181" s="3" t="s">
        <v>435</v>
      </c>
      <c r="C181" s="3" t="s">
        <v>247</v>
      </c>
      <c r="D181" s="3">
        <v>1.0694999999999999</v>
      </c>
      <c r="E181" s="3"/>
    </row>
    <row r="182" spans="1:5" x14ac:dyDescent="0.25">
      <c r="A182" t="str">
        <f t="shared" si="4"/>
        <v>DBH_stand_density_adjustment_model</v>
      </c>
      <c r="B182" s="3" t="s">
        <v>435</v>
      </c>
      <c r="C182" s="3" t="s">
        <v>248</v>
      </c>
      <c r="D182" s="3">
        <v>0</v>
      </c>
      <c r="E182" s="3"/>
    </row>
    <row r="183" spans="1:5" x14ac:dyDescent="0.25">
      <c r="A183" t="str">
        <f t="shared" si="4"/>
        <v>DBH_stand_density_adjustment_model</v>
      </c>
      <c r="B183" s="3" t="s">
        <v>436</v>
      </c>
      <c r="C183" s="3" t="s">
        <v>249</v>
      </c>
      <c r="D183" s="3">
        <v>0.62150000000000005</v>
      </c>
      <c r="E183" s="3"/>
    </row>
    <row r="184" spans="1:5" x14ac:dyDescent="0.25">
      <c r="A184" t="str">
        <f t="shared" si="4"/>
        <v>DBH_stand_density_adjustment_model</v>
      </c>
      <c r="B184" s="3" t="s">
        <v>436</v>
      </c>
      <c r="C184" s="3" t="s">
        <v>250</v>
      </c>
      <c r="D184" s="3">
        <v>0.184</v>
      </c>
      <c r="E184" s="3"/>
    </row>
    <row r="185" spans="1:5" x14ac:dyDescent="0.25">
      <c r="A185" t="str">
        <f t="shared" si="4"/>
        <v>DBH_stand_density_adjustment_model</v>
      </c>
      <c r="B185" s="3" t="s">
        <v>436</v>
      </c>
      <c r="C185" s="3" t="s">
        <v>251</v>
      </c>
      <c r="D185" s="3">
        <v>21.32</v>
      </c>
      <c r="E185" s="3"/>
    </row>
    <row r="186" spans="1:5" x14ac:dyDescent="0.25">
      <c r="A186" t="str">
        <f t="shared" si="4"/>
        <v>DBH_stand_density_adjustment_model</v>
      </c>
      <c r="B186" s="3" t="s">
        <v>436</v>
      </c>
      <c r="C186" s="3" t="s">
        <v>252</v>
      </c>
      <c r="D186" s="3">
        <v>5.5800000000000002E-2</v>
      </c>
      <c r="E186" s="3"/>
    </row>
    <row r="187" spans="1:5" x14ac:dyDescent="0.25">
      <c r="A187" t="str">
        <f t="shared" si="4"/>
        <v>DBH_stand_density_adjustment_model</v>
      </c>
      <c r="B187" s="3" t="s">
        <v>436</v>
      </c>
      <c r="C187" s="3" t="s">
        <v>253</v>
      </c>
      <c r="D187" s="3">
        <v>0</v>
      </c>
      <c r="E187" s="3"/>
    </row>
    <row r="188" spans="1:5" x14ac:dyDescent="0.25">
      <c r="A188" t="str">
        <f t="shared" si="4"/>
        <v>DBH_stand_density_adjustment_model</v>
      </c>
      <c r="B188" s="3" t="s">
        <v>437</v>
      </c>
      <c r="C188" s="3" t="s">
        <v>254</v>
      </c>
      <c r="D188" s="3">
        <v>0.62150000000000005</v>
      </c>
      <c r="E188" s="3"/>
    </row>
    <row r="189" spans="1:5" x14ac:dyDescent="0.25">
      <c r="A189" t="str">
        <f t="shared" si="4"/>
        <v>DBH_stand_density_adjustment_model</v>
      </c>
      <c r="B189" s="3" t="s">
        <v>437</v>
      </c>
      <c r="C189" s="3" t="s">
        <v>255</v>
      </c>
      <c r="D189" s="3">
        <v>0.16800000000000001</v>
      </c>
      <c r="E189" s="3"/>
    </row>
    <row r="190" spans="1:5" x14ac:dyDescent="0.25">
      <c r="A190" t="str">
        <f t="shared" si="4"/>
        <v>DBH_stand_density_adjustment_model</v>
      </c>
      <c r="B190" s="3" t="s">
        <v>437</v>
      </c>
      <c r="C190" s="3" t="s">
        <v>256</v>
      </c>
      <c r="D190" s="3">
        <v>26.38</v>
      </c>
      <c r="E190" s="3"/>
    </row>
    <row r="191" spans="1:5" x14ac:dyDescent="0.25">
      <c r="A191" t="str">
        <f t="shared" si="4"/>
        <v>DBH_stand_density_adjustment_model</v>
      </c>
      <c r="B191" s="3" t="s">
        <v>437</v>
      </c>
      <c r="C191" s="3" t="s">
        <v>257</v>
      </c>
      <c r="D191" s="3">
        <v>0.7319</v>
      </c>
      <c r="E191" s="3"/>
    </row>
    <row r="192" spans="1:5" x14ac:dyDescent="0.25">
      <c r="A192" t="str">
        <f t="shared" si="4"/>
        <v>DBH_stand_density_adjustment_model</v>
      </c>
      <c r="B192" s="3" t="s">
        <v>437</v>
      </c>
      <c r="C192" s="3" t="s">
        <v>258</v>
      </c>
      <c r="D192" s="3">
        <v>0</v>
      </c>
      <c r="E192" s="3"/>
    </row>
    <row r="193" spans="1:5" x14ac:dyDescent="0.25">
      <c r="A193" t="str">
        <f t="shared" si="4"/>
        <v>DBH_stand_density_adjustment_model</v>
      </c>
      <c r="B193" s="3" t="s">
        <v>438</v>
      </c>
      <c r="C193" s="3" t="s">
        <v>259</v>
      </c>
      <c r="D193" s="3">
        <v>0.31609999999999999</v>
      </c>
      <c r="E193" s="3"/>
    </row>
    <row r="194" spans="1:5" x14ac:dyDescent="0.25">
      <c r="A194" t="str">
        <f t="shared" si="4"/>
        <v>DBH_stand_density_adjustment_model</v>
      </c>
      <c r="B194" s="3" t="s">
        <v>438</v>
      </c>
      <c r="C194" s="3" t="s">
        <v>260</v>
      </c>
      <c r="D194" s="3">
        <v>0.23200000000000001</v>
      </c>
      <c r="E194" s="3"/>
    </row>
    <row r="195" spans="1:5" x14ac:dyDescent="0.25">
      <c r="A195" t="str">
        <f t="shared" si="4"/>
        <v>DBH_stand_density_adjustment_model</v>
      </c>
      <c r="B195" s="3" t="s">
        <v>438</v>
      </c>
      <c r="C195" s="3" t="s">
        <v>261</v>
      </c>
      <c r="D195" s="3">
        <v>9.6</v>
      </c>
      <c r="E195" s="3"/>
    </row>
    <row r="196" spans="1:5" x14ac:dyDescent="0.25">
      <c r="A196" t="str">
        <f t="shared" si="4"/>
        <v>DBH_stand_density_adjustment_model</v>
      </c>
      <c r="B196" s="3" t="s">
        <v>438</v>
      </c>
      <c r="C196" s="3" t="s">
        <v>262</v>
      </c>
      <c r="D196" s="3">
        <v>0.2417</v>
      </c>
      <c r="E196" s="3"/>
    </row>
    <row r="197" spans="1:5" x14ac:dyDescent="0.25">
      <c r="A197" t="str">
        <f t="shared" si="4"/>
        <v>DBH_stand_density_adjustment_model</v>
      </c>
      <c r="B197" s="3" t="s">
        <v>438</v>
      </c>
      <c r="C197" s="3" t="s">
        <v>263</v>
      </c>
      <c r="D197" s="3">
        <v>0</v>
      </c>
      <c r="E197" s="3"/>
    </row>
    <row r="198" spans="1:5" x14ac:dyDescent="0.25">
      <c r="A198" s="1" t="s">
        <v>550</v>
      </c>
      <c r="B198" s="3" t="s">
        <v>430</v>
      </c>
      <c r="C198" s="3" t="s">
        <v>264</v>
      </c>
      <c r="D198" s="3">
        <v>0.1376</v>
      </c>
      <c r="E198" s="3"/>
    </row>
    <row r="199" spans="1:5" x14ac:dyDescent="0.25">
      <c r="A199" t="str">
        <f t="shared" ref="A199:A219" si="5">A198</f>
        <v>Models_predicting_MTH_from_mean_height_and_stand_density</v>
      </c>
      <c r="B199" s="3" t="s">
        <v>430</v>
      </c>
      <c r="C199" s="3" t="s">
        <v>265</v>
      </c>
      <c r="D199" s="3">
        <v>-6.2199999999999998E-3</v>
      </c>
      <c r="E199" s="3"/>
    </row>
    <row r="200" spans="1:5" x14ac:dyDescent="0.25">
      <c r="A200" t="str">
        <f t="shared" si="5"/>
        <v>Models_predicting_MTH_from_mean_height_and_stand_density</v>
      </c>
      <c r="B200" s="3" t="s">
        <v>431</v>
      </c>
      <c r="C200" s="3" t="s">
        <v>266</v>
      </c>
      <c r="D200" s="3">
        <v>0.19209999999999999</v>
      </c>
      <c r="E200" s="3"/>
    </row>
    <row r="201" spans="1:5" x14ac:dyDescent="0.25">
      <c r="A201" t="str">
        <f t="shared" si="5"/>
        <v>Models_predicting_MTH_from_mean_height_and_stand_density</v>
      </c>
      <c r="B201" s="3" t="s">
        <v>431</v>
      </c>
      <c r="C201" s="3" t="s">
        <v>267</v>
      </c>
      <c r="D201" s="3">
        <v>-1.14E-3</v>
      </c>
      <c r="E201" s="3"/>
    </row>
    <row r="202" spans="1:5" x14ac:dyDescent="0.25">
      <c r="A202" t="str">
        <f t="shared" si="5"/>
        <v>Models_predicting_MTH_from_mean_height_and_stand_density</v>
      </c>
      <c r="B202" s="3" t="s">
        <v>432</v>
      </c>
      <c r="C202" s="3" t="s">
        <v>268</v>
      </c>
      <c r="D202" s="3">
        <v>0.19209999999999999</v>
      </c>
      <c r="E202" s="3"/>
    </row>
    <row r="203" spans="1:5" x14ac:dyDescent="0.25">
      <c r="A203" t="str">
        <f t="shared" si="5"/>
        <v>Models_predicting_MTH_from_mean_height_and_stand_density</v>
      </c>
      <c r="B203" s="3" t="s">
        <v>432</v>
      </c>
      <c r="C203" s="3" t="s">
        <v>269</v>
      </c>
      <c r="D203" s="3">
        <v>-1.14E-3</v>
      </c>
      <c r="E203" s="3"/>
    </row>
    <row r="204" spans="1:5" x14ac:dyDescent="0.25">
      <c r="A204" t="str">
        <f t="shared" si="5"/>
        <v>Models_predicting_MTH_from_mean_height_and_stand_density</v>
      </c>
      <c r="B204" s="3" t="s">
        <v>433</v>
      </c>
      <c r="C204" s="3" t="s">
        <v>270</v>
      </c>
      <c r="D204" s="3">
        <v>0.12709999999999999</v>
      </c>
      <c r="E204" s="3"/>
    </row>
    <row r="205" spans="1:5" x14ac:dyDescent="0.25">
      <c r="A205" t="str">
        <f t="shared" si="5"/>
        <v>Models_predicting_MTH_from_mean_height_and_stand_density</v>
      </c>
      <c r="B205" s="3" t="s">
        <v>433</v>
      </c>
      <c r="C205" s="3" t="s">
        <v>271</v>
      </c>
      <c r="D205" s="3">
        <v>-2.8500000000000001E-3</v>
      </c>
      <c r="E205" s="3"/>
    </row>
    <row r="206" spans="1:5" x14ac:dyDescent="0.25">
      <c r="A206" t="str">
        <f t="shared" si="5"/>
        <v>Models_predicting_MTH_from_mean_height_and_stand_density</v>
      </c>
      <c r="B206" s="3" t="s">
        <v>434</v>
      </c>
      <c r="C206" s="3" t="s">
        <v>272</v>
      </c>
      <c r="D206" s="3">
        <v>0.16159999999999999</v>
      </c>
      <c r="E206" s="3"/>
    </row>
    <row r="207" spans="1:5" x14ac:dyDescent="0.25">
      <c r="A207" t="str">
        <f t="shared" si="5"/>
        <v>Models_predicting_MTH_from_mean_height_and_stand_density</v>
      </c>
      <c r="B207" s="3" t="s">
        <v>434</v>
      </c>
      <c r="C207" s="3" t="s">
        <v>273</v>
      </c>
      <c r="D207" s="3">
        <v>-4.64E-3</v>
      </c>
      <c r="E207" s="3"/>
    </row>
    <row r="208" spans="1:5" x14ac:dyDescent="0.25">
      <c r="A208" t="str">
        <f t="shared" si="5"/>
        <v>Models_predicting_MTH_from_mean_height_and_stand_density</v>
      </c>
      <c r="B208" s="3" t="s">
        <v>435</v>
      </c>
      <c r="C208" s="3" t="s">
        <v>274</v>
      </c>
      <c r="D208" s="3">
        <v>0.2059</v>
      </c>
      <c r="E208" s="3"/>
    </row>
    <row r="209" spans="1:5" x14ac:dyDescent="0.25">
      <c r="A209" t="str">
        <f t="shared" si="5"/>
        <v>Models_predicting_MTH_from_mean_height_and_stand_density</v>
      </c>
      <c r="B209" s="3" t="s">
        <v>435</v>
      </c>
      <c r="C209" s="3" t="s">
        <v>275</v>
      </c>
      <c r="D209" s="3">
        <v>-1.65E-3</v>
      </c>
      <c r="E209" s="3"/>
    </row>
    <row r="210" spans="1:5" x14ac:dyDescent="0.25">
      <c r="A210" t="str">
        <f t="shared" si="5"/>
        <v>Models_predicting_MTH_from_mean_height_and_stand_density</v>
      </c>
      <c r="B210" s="3" t="s">
        <v>436</v>
      </c>
      <c r="C210" s="3" t="s">
        <v>276</v>
      </c>
      <c r="D210" s="3">
        <v>0.1401</v>
      </c>
      <c r="E210" s="3"/>
    </row>
    <row r="211" spans="1:5" x14ac:dyDescent="0.25">
      <c r="A211" t="str">
        <f t="shared" si="5"/>
        <v>Models_predicting_MTH_from_mean_height_and_stand_density</v>
      </c>
      <c r="B211" s="3" t="s">
        <v>436</v>
      </c>
      <c r="C211" s="3" t="s">
        <v>277</v>
      </c>
      <c r="D211" s="3">
        <v>-2.6199999999999999E-3</v>
      </c>
      <c r="E211" s="3"/>
    </row>
    <row r="212" spans="1:5" x14ac:dyDescent="0.25">
      <c r="A212" t="str">
        <f t="shared" si="5"/>
        <v>Models_predicting_MTH_from_mean_height_and_stand_density</v>
      </c>
      <c r="B212" s="3" t="s">
        <v>437</v>
      </c>
      <c r="C212" s="3" t="s">
        <v>278</v>
      </c>
      <c r="D212" s="3">
        <v>0.17929999999999999</v>
      </c>
      <c r="E212" s="3"/>
    </row>
    <row r="213" spans="1:5" x14ac:dyDescent="0.25">
      <c r="A213" t="str">
        <f t="shared" si="5"/>
        <v>Models_predicting_MTH_from_mean_height_and_stand_density</v>
      </c>
      <c r="B213" s="3" t="s">
        <v>437</v>
      </c>
      <c r="C213" s="3" t="s">
        <v>279</v>
      </c>
      <c r="D213" s="3">
        <v>-2.7799999999999999E-3</v>
      </c>
      <c r="E213" s="3"/>
    </row>
    <row r="214" spans="1:5" x14ac:dyDescent="0.25">
      <c r="A214" t="str">
        <f t="shared" si="5"/>
        <v>Models_predicting_MTH_from_mean_height_and_stand_density</v>
      </c>
      <c r="B214" s="3" t="s">
        <v>438</v>
      </c>
      <c r="C214" s="3" t="s">
        <v>280</v>
      </c>
      <c r="D214" s="3">
        <v>0.21460000000000001</v>
      </c>
      <c r="E214" s="3"/>
    </row>
    <row r="215" spans="1:5" x14ac:dyDescent="0.25">
      <c r="A215" t="str">
        <f t="shared" si="5"/>
        <v>Models_predicting_MTH_from_mean_height_and_stand_density</v>
      </c>
      <c r="B215" s="3" t="s">
        <v>438</v>
      </c>
      <c r="C215" s="3" t="s">
        <v>281</v>
      </c>
      <c r="D215" s="3">
        <v>-1.64E-3</v>
      </c>
      <c r="E215" s="3"/>
    </row>
    <row r="216" spans="1:5" x14ac:dyDescent="0.25">
      <c r="A216" t="str">
        <f t="shared" si="5"/>
        <v>Models_predicting_MTH_from_mean_height_and_stand_density</v>
      </c>
      <c r="B216" s="3" t="s">
        <v>439</v>
      </c>
      <c r="C216" s="3" t="s">
        <v>282</v>
      </c>
      <c r="D216" s="3">
        <v>7.0000000000000007E-2</v>
      </c>
      <c r="E216" s="3"/>
    </row>
    <row r="217" spans="1:5" x14ac:dyDescent="0.25">
      <c r="A217" t="str">
        <f t="shared" si="5"/>
        <v>Models_predicting_MTH_from_mean_height_and_stand_density</v>
      </c>
      <c r="B217" s="3" t="s">
        <v>439</v>
      </c>
      <c r="C217" s="3" t="s">
        <v>283</v>
      </c>
      <c r="D217" s="3">
        <v>-3.9899999999999996E-3</v>
      </c>
      <c r="E217" s="3"/>
    </row>
    <row r="218" spans="1:5" x14ac:dyDescent="0.25">
      <c r="A218" t="str">
        <f t="shared" si="5"/>
        <v>Models_predicting_MTH_from_mean_height_and_stand_density</v>
      </c>
      <c r="B218" s="3" t="s">
        <v>440</v>
      </c>
      <c r="C218" s="3" t="s">
        <v>284</v>
      </c>
      <c r="D218" s="3">
        <v>0.106</v>
      </c>
      <c r="E218" s="3"/>
    </row>
    <row r="219" spans="1:5" x14ac:dyDescent="0.25">
      <c r="A219" t="str">
        <f t="shared" si="5"/>
        <v>Models_predicting_MTH_from_mean_height_and_stand_density</v>
      </c>
      <c r="B219" s="3" t="s">
        <v>440</v>
      </c>
      <c r="C219" s="3" t="s">
        <v>285</v>
      </c>
      <c r="D219" s="3">
        <v>-0.22800000000000001</v>
      </c>
      <c r="E219" s="3"/>
    </row>
    <row r="220" spans="1:5" x14ac:dyDescent="0.25">
      <c r="A220" s="1" t="s">
        <v>551</v>
      </c>
      <c r="B220" s="3" t="s">
        <v>441</v>
      </c>
      <c r="C220" s="3" t="s">
        <v>286</v>
      </c>
      <c r="D220" s="3">
        <v>1</v>
      </c>
      <c r="E220" s="3"/>
    </row>
    <row r="221" spans="1:5" x14ac:dyDescent="0.25">
      <c r="A221" t="str">
        <f t="shared" ref="A221:A252" si="6">A220</f>
        <v>Stand-level_volume_functions</v>
      </c>
      <c r="B221" s="3" t="s">
        <v>441</v>
      </c>
      <c r="C221" s="3" t="s">
        <v>287</v>
      </c>
      <c r="D221" s="3">
        <v>0</v>
      </c>
      <c r="E221" s="3"/>
    </row>
    <row r="222" spans="1:5" x14ac:dyDescent="0.25">
      <c r="A222" t="str">
        <f t="shared" si="6"/>
        <v>Stand-level_volume_functions</v>
      </c>
      <c r="B222" s="3" t="s">
        <v>441</v>
      </c>
      <c r="C222" s="3" t="s">
        <v>288</v>
      </c>
      <c r="D222" s="3">
        <v>0.48720000000000002</v>
      </c>
      <c r="E222" s="3"/>
    </row>
    <row r="223" spans="1:5" x14ac:dyDescent="0.25">
      <c r="A223" t="str">
        <f t="shared" si="6"/>
        <v>Stand-level_volume_functions</v>
      </c>
      <c r="B223" s="3" t="s">
        <v>441</v>
      </c>
      <c r="C223" s="3" t="s">
        <v>289</v>
      </c>
      <c r="D223" s="3">
        <v>0.17960000000000001</v>
      </c>
      <c r="E223" s="3"/>
    </row>
    <row r="224" spans="1:5" x14ac:dyDescent="0.25">
      <c r="A224" t="str">
        <f t="shared" si="6"/>
        <v>Stand-level_volume_functions</v>
      </c>
      <c r="B224" s="3" t="s">
        <v>441</v>
      </c>
      <c r="C224" s="3" t="s">
        <v>290</v>
      </c>
      <c r="D224" s="3">
        <v>0</v>
      </c>
      <c r="E224" s="3"/>
    </row>
    <row r="225" spans="1:5" x14ac:dyDescent="0.25">
      <c r="A225" t="str">
        <f t="shared" si="6"/>
        <v>Stand-level_volume_functions</v>
      </c>
      <c r="B225" s="3" t="s">
        <v>442</v>
      </c>
      <c r="C225" s="3" t="s">
        <v>291</v>
      </c>
      <c r="D225" s="3">
        <v>1</v>
      </c>
      <c r="E225" s="3"/>
    </row>
    <row r="226" spans="1:5" x14ac:dyDescent="0.25">
      <c r="A226" t="str">
        <f t="shared" si="6"/>
        <v>Stand-level_volume_functions</v>
      </c>
      <c r="B226" s="3" t="s">
        <v>442</v>
      </c>
      <c r="C226" s="3" t="s">
        <v>292</v>
      </c>
      <c r="D226" s="3">
        <v>0.22509999999999999</v>
      </c>
      <c r="E226" s="3"/>
    </row>
    <row r="227" spans="1:5" x14ac:dyDescent="0.25">
      <c r="A227" t="str">
        <f t="shared" si="6"/>
        <v>Stand-level_volume_functions</v>
      </c>
      <c r="B227" s="3" t="s">
        <v>442</v>
      </c>
      <c r="C227" s="3" t="s">
        <v>293</v>
      </c>
      <c r="D227" s="3">
        <v>0.72209999999999996</v>
      </c>
      <c r="E227" s="3"/>
    </row>
    <row r="228" spans="1:5" x14ac:dyDescent="0.25">
      <c r="A228" t="str">
        <f t="shared" si="6"/>
        <v>Stand-level_volume_functions</v>
      </c>
      <c r="B228" s="3" t="s">
        <v>442</v>
      </c>
      <c r="C228" s="3" t="s">
        <v>294</v>
      </c>
      <c r="D228" s="3">
        <v>0.85929999999999995</v>
      </c>
      <c r="E228" s="3"/>
    </row>
    <row r="229" spans="1:5" x14ac:dyDescent="0.25">
      <c r="A229" t="str">
        <f t="shared" si="6"/>
        <v>Stand-level_volume_functions</v>
      </c>
      <c r="B229" s="3" t="s">
        <v>442</v>
      </c>
      <c r="C229" s="3" t="s">
        <v>295</v>
      </c>
      <c r="D229" s="3">
        <v>0</v>
      </c>
      <c r="E229" s="3"/>
    </row>
    <row r="230" spans="1:5" x14ac:dyDescent="0.25">
      <c r="A230" t="str">
        <f t="shared" si="6"/>
        <v>Stand-level_volume_functions</v>
      </c>
      <c r="B230" s="3" t="s">
        <v>431</v>
      </c>
      <c r="C230" s="3" t="s">
        <v>296</v>
      </c>
      <c r="D230" s="3">
        <v>1</v>
      </c>
      <c r="E230" s="3"/>
    </row>
    <row r="231" spans="1:5" x14ac:dyDescent="0.25">
      <c r="A231" t="str">
        <f t="shared" si="6"/>
        <v>Stand-level_volume_functions</v>
      </c>
      <c r="B231" s="3" t="s">
        <v>431</v>
      </c>
      <c r="C231" s="3" t="s">
        <v>297</v>
      </c>
      <c r="D231" s="3">
        <v>0.2944</v>
      </c>
      <c r="E231" s="3"/>
    </row>
    <row r="232" spans="1:5" x14ac:dyDescent="0.25">
      <c r="A232" t="str">
        <f t="shared" si="6"/>
        <v>Stand-level_volume_functions</v>
      </c>
      <c r="B232" s="3" t="s">
        <v>431</v>
      </c>
      <c r="C232" s="3" t="s">
        <v>298</v>
      </c>
      <c r="D232" s="3">
        <v>0.39729999999999999</v>
      </c>
      <c r="E232" s="3"/>
    </row>
    <row r="233" spans="1:5" x14ac:dyDescent="0.25">
      <c r="A233" t="str">
        <f t="shared" si="6"/>
        <v>Stand-level_volume_functions</v>
      </c>
      <c r="B233" s="3" t="s">
        <v>431</v>
      </c>
      <c r="C233" s="3" t="s">
        <v>299</v>
      </c>
      <c r="D233" s="3">
        <v>0.58660000000000001</v>
      </c>
      <c r="E233" s="3"/>
    </row>
    <row r="234" spans="1:5" x14ac:dyDescent="0.25">
      <c r="A234" t="str">
        <f t="shared" si="6"/>
        <v>Stand-level_volume_functions</v>
      </c>
      <c r="B234" s="3" t="s">
        <v>431</v>
      </c>
      <c r="C234" s="3" t="s">
        <v>300</v>
      </c>
      <c r="D234" s="3">
        <v>0</v>
      </c>
      <c r="E234" s="3"/>
    </row>
    <row r="235" spans="1:5" x14ac:dyDescent="0.25">
      <c r="A235" t="str">
        <f t="shared" si="6"/>
        <v>Stand-level_volume_functions</v>
      </c>
      <c r="B235" s="3" t="s">
        <v>432</v>
      </c>
      <c r="C235" s="3" t="s">
        <v>301</v>
      </c>
      <c r="D235" s="3">
        <v>1</v>
      </c>
      <c r="E235" s="3"/>
    </row>
    <row r="236" spans="1:5" x14ac:dyDescent="0.25">
      <c r="A236" t="str">
        <f t="shared" si="6"/>
        <v>Stand-level_volume_functions</v>
      </c>
      <c r="B236" s="3" t="s">
        <v>432</v>
      </c>
      <c r="C236" s="3" t="s">
        <v>302</v>
      </c>
      <c r="D236" s="3">
        <v>0.2944</v>
      </c>
      <c r="E236" s="3"/>
    </row>
    <row r="237" spans="1:5" x14ac:dyDescent="0.25">
      <c r="A237" t="str">
        <f t="shared" si="6"/>
        <v>Stand-level_volume_functions</v>
      </c>
      <c r="B237" s="3" t="s">
        <v>432</v>
      </c>
      <c r="C237" s="3" t="s">
        <v>303</v>
      </c>
      <c r="D237" s="3">
        <v>0.39729999999999999</v>
      </c>
      <c r="E237" s="3"/>
    </row>
    <row r="238" spans="1:5" x14ac:dyDescent="0.25">
      <c r="A238" t="str">
        <f t="shared" si="6"/>
        <v>Stand-level_volume_functions</v>
      </c>
      <c r="B238" s="3" t="s">
        <v>432</v>
      </c>
      <c r="C238" s="3" t="s">
        <v>304</v>
      </c>
      <c r="D238" s="3">
        <v>0.58660000000000001</v>
      </c>
      <c r="E238" s="3"/>
    </row>
    <row r="239" spans="1:5" x14ac:dyDescent="0.25">
      <c r="A239" t="str">
        <f t="shared" si="6"/>
        <v>Stand-level_volume_functions</v>
      </c>
      <c r="B239" s="3" t="s">
        <v>432</v>
      </c>
      <c r="C239" s="3" t="s">
        <v>305</v>
      </c>
      <c r="D239" s="3">
        <v>0</v>
      </c>
      <c r="E239" s="3"/>
    </row>
    <row r="240" spans="1:5" x14ac:dyDescent="0.25">
      <c r="A240" t="str">
        <f t="shared" si="6"/>
        <v>Stand-level_volume_functions</v>
      </c>
      <c r="B240" s="3" t="s">
        <v>433</v>
      </c>
      <c r="C240" s="3" t="s">
        <v>306</v>
      </c>
      <c r="D240" s="3">
        <v>2</v>
      </c>
      <c r="E240" s="3"/>
    </row>
    <row r="241" spans="1:5" x14ac:dyDescent="0.25">
      <c r="A241" t="str">
        <f t="shared" si="6"/>
        <v>Stand-level_volume_functions</v>
      </c>
      <c r="B241" s="3" t="s">
        <v>433</v>
      </c>
      <c r="C241" s="3" t="s">
        <v>307</v>
      </c>
      <c r="D241" s="3">
        <v>-0.28010000000000002</v>
      </c>
      <c r="E241" s="3"/>
    </row>
    <row r="242" spans="1:5" x14ac:dyDescent="0.25">
      <c r="A242" t="str">
        <f t="shared" si="6"/>
        <v>Stand-level_volume_functions</v>
      </c>
      <c r="B242" s="3" t="s">
        <v>433</v>
      </c>
      <c r="C242" s="3" t="s">
        <v>308</v>
      </c>
      <c r="D242" s="3">
        <v>0.97040000000000004</v>
      </c>
      <c r="E242" s="3"/>
    </row>
    <row r="243" spans="1:5" x14ac:dyDescent="0.25">
      <c r="A243" t="str">
        <f t="shared" si="6"/>
        <v>Stand-level_volume_functions</v>
      </c>
      <c r="B243" s="3" t="s">
        <v>433</v>
      </c>
      <c r="C243" s="3" t="s">
        <v>309</v>
      </c>
      <c r="D243" s="3">
        <v>0.55430000000000001</v>
      </c>
      <c r="E243" s="3"/>
    </row>
    <row r="244" spans="1:5" x14ac:dyDescent="0.25">
      <c r="A244" t="str">
        <f t="shared" si="6"/>
        <v>Stand-level_volume_functions</v>
      </c>
      <c r="B244" s="3" t="s">
        <v>433</v>
      </c>
      <c r="C244" s="3" t="s">
        <v>310</v>
      </c>
      <c r="D244" s="3">
        <v>7.9000000000000001E-2</v>
      </c>
      <c r="E244" s="3"/>
    </row>
    <row r="245" spans="1:5" x14ac:dyDescent="0.25">
      <c r="A245" t="str">
        <f t="shared" si="6"/>
        <v>Stand-level_volume_functions</v>
      </c>
      <c r="B245" s="3" t="s">
        <v>434</v>
      </c>
      <c r="C245" s="3" t="s">
        <v>311</v>
      </c>
      <c r="D245" s="3">
        <v>2</v>
      </c>
      <c r="E245" s="3"/>
    </row>
    <row r="246" spans="1:5" x14ac:dyDescent="0.25">
      <c r="A246" t="str">
        <f t="shared" si="6"/>
        <v>Stand-level_volume_functions</v>
      </c>
      <c r="B246" s="3" t="s">
        <v>434</v>
      </c>
      <c r="C246" s="3" t="s">
        <v>312</v>
      </c>
      <c r="D246" s="3">
        <v>-1.0995999999999999</v>
      </c>
      <c r="E246" s="3"/>
    </row>
    <row r="247" spans="1:5" x14ac:dyDescent="0.25">
      <c r="A247" t="str">
        <f t="shared" si="6"/>
        <v>Stand-level_volume_functions</v>
      </c>
      <c r="B247" s="3" t="s">
        <v>434</v>
      </c>
      <c r="C247" s="3" t="s">
        <v>313</v>
      </c>
      <c r="D247" s="3">
        <v>0.96020000000000005</v>
      </c>
      <c r="E247" s="3"/>
    </row>
    <row r="248" spans="1:5" x14ac:dyDescent="0.25">
      <c r="A248" t="str">
        <f t="shared" si="6"/>
        <v>Stand-level_volume_functions</v>
      </c>
      <c r="B248" s="3" t="s">
        <v>434</v>
      </c>
      <c r="C248" s="3" t="s">
        <v>314</v>
      </c>
      <c r="D248" s="3">
        <v>1.0526</v>
      </c>
      <c r="E248" s="3"/>
    </row>
    <row r="249" spans="1:5" x14ac:dyDescent="0.25">
      <c r="A249" t="str">
        <f t="shared" si="6"/>
        <v>Stand-level_volume_functions</v>
      </c>
      <c r="B249" s="3" t="s">
        <v>434</v>
      </c>
      <c r="C249" s="3" t="s">
        <v>315</v>
      </c>
      <c r="D249" s="3">
        <v>0</v>
      </c>
      <c r="E249" s="3"/>
    </row>
    <row r="250" spans="1:5" x14ac:dyDescent="0.25">
      <c r="A250" t="str">
        <f t="shared" si="6"/>
        <v>Stand-level_volume_functions</v>
      </c>
      <c r="B250" s="3" t="s">
        <v>435</v>
      </c>
      <c r="C250" s="3" t="s">
        <v>316</v>
      </c>
      <c r="D250" s="3">
        <v>2</v>
      </c>
      <c r="E250" s="3"/>
    </row>
    <row r="251" spans="1:5" x14ac:dyDescent="0.25">
      <c r="A251" t="str">
        <f t="shared" si="6"/>
        <v>Stand-level_volume_functions</v>
      </c>
      <c r="B251" s="3" t="s">
        <v>435</v>
      </c>
      <c r="C251" s="3" t="s">
        <v>317</v>
      </c>
      <c r="D251" s="3">
        <v>-0.94679999999999997</v>
      </c>
      <c r="E251" s="3"/>
    </row>
    <row r="252" spans="1:5" x14ac:dyDescent="0.25">
      <c r="A252" t="str">
        <f t="shared" si="6"/>
        <v>Stand-level_volume_functions</v>
      </c>
      <c r="B252" s="3" t="s">
        <v>435</v>
      </c>
      <c r="C252" s="3" t="s">
        <v>318</v>
      </c>
      <c r="D252" s="3">
        <v>0.98919999999999997</v>
      </c>
      <c r="E252" s="3"/>
    </row>
    <row r="253" spans="1:5" x14ac:dyDescent="0.25">
      <c r="A253" t="str">
        <f t="shared" ref="A253:A279" si="7">A252</f>
        <v>Stand-level_volume_functions</v>
      </c>
      <c r="B253" s="3" t="s">
        <v>435</v>
      </c>
      <c r="C253" s="3" t="s">
        <v>319</v>
      </c>
      <c r="D253" s="3">
        <v>0.89949999999999997</v>
      </c>
      <c r="E253" s="3"/>
    </row>
    <row r="254" spans="1:5" x14ac:dyDescent="0.25">
      <c r="A254" t="str">
        <f t="shared" si="7"/>
        <v>Stand-level_volume_functions</v>
      </c>
      <c r="B254" s="3" t="s">
        <v>435</v>
      </c>
      <c r="C254" s="3" t="s">
        <v>320</v>
      </c>
      <c r="D254" s="3">
        <v>0</v>
      </c>
      <c r="E254" s="3"/>
    </row>
    <row r="255" spans="1:5" x14ac:dyDescent="0.25">
      <c r="A255" t="str">
        <f t="shared" si="7"/>
        <v>Stand-level_volume_functions</v>
      </c>
      <c r="B255" s="3" t="s">
        <v>436</v>
      </c>
      <c r="C255" s="3" t="s">
        <v>321</v>
      </c>
      <c r="D255" s="3">
        <v>2</v>
      </c>
      <c r="E255" s="3"/>
    </row>
    <row r="256" spans="1:5" x14ac:dyDescent="0.25">
      <c r="A256" t="str">
        <f t="shared" si="7"/>
        <v>Stand-level_volume_functions</v>
      </c>
      <c r="B256" s="3" t="s">
        <v>436</v>
      </c>
      <c r="C256" s="3" t="s">
        <v>322</v>
      </c>
      <c r="D256" s="3">
        <v>1.2E-2</v>
      </c>
      <c r="E256" s="3"/>
    </row>
    <row r="257" spans="1:5" x14ac:dyDescent="0.25">
      <c r="A257" t="str">
        <f t="shared" si="7"/>
        <v>Stand-level_volume_functions</v>
      </c>
      <c r="B257" s="3" t="s">
        <v>436</v>
      </c>
      <c r="C257" s="3" t="s">
        <v>323</v>
      </c>
      <c r="D257" s="3">
        <v>0.96530000000000005</v>
      </c>
      <c r="E257" s="3"/>
    </row>
    <row r="258" spans="1:5" x14ac:dyDescent="0.25">
      <c r="A258" t="str">
        <f t="shared" si="7"/>
        <v>Stand-level_volume_functions</v>
      </c>
      <c r="B258" s="3" t="s">
        <v>436</v>
      </c>
      <c r="C258" s="3" t="s">
        <v>324</v>
      </c>
      <c r="D258" s="3">
        <v>0.46110000000000001</v>
      </c>
      <c r="E258" s="3"/>
    </row>
    <row r="259" spans="1:5" x14ac:dyDescent="0.25">
      <c r="A259" t="str">
        <f t="shared" si="7"/>
        <v>Stand-level_volume_functions</v>
      </c>
      <c r="B259" s="3" t="s">
        <v>436</v>
      </c>
      <c r="C259" s="3" t="s">
        <v>325</v>
      </c>
      <c r="D259" s="3">
        <v>7.1599999999999997E-2</v>
      </c>
      <c r="E259" s="3"/>
    </row>
    <row r="260" spans="1:5" x14ac:dyDescent="0.25">
      <c r="A260" t="str">
        <f t="shared" si="7"/>
        <v>Stand-level_volume_functions</v>
      </c>
      <c r="B260" s="3" t="s">
        <v>437</v>
      </c>
      <c r="C260" s="3" t="s">
        <v>326</v>
      </c>
      <c r="D260" s="3">
        <v>2</v>
      </c>
      <c r="E260" s="3"/>
    </row>
    <row r="261" spans="1:5" x14ac:dyDescent="0.25">
      <c r="A261" t="str">
        <f t="shared" si="7"/>
        <v>Stand-level_volume_functions</v>
      </c>
      <c r="B261" s="3" t="s">
        <v>437</v>
      </c>
      <c r="C261" s="3" t="s">
        <v>327</v>
      </c>
      <c r="D261" s="3">
        <v>-0.33910000000000001</v>
      </c>
      <c r="E261" s="3"/>
    </row>
    <row r="262" spans="1:5" x14ac:dyDescent="0.25">
      <c r="A262" t="str">
        <f t="shared" si="7"/>
        <v>Stand-level_volume_functions</v>
      </c>
      <c r="B262" s="3" t="s">
        <v>437</v>
      </c>
      <c r="C262" s="3" t="s">
        <v>328</v>
      </c>
      <c r="D262" s="3">
        <v>0.95409999999999995</v>
      </c>
      <c r="E262" s="3"/>
    </row>
    <row r="263" spans="1:5" x14ac:dyDescent="0.25">
      <c r="A263" t="str">
        <f t="shared" si="7"/>
        <v>Stand-level_volume_functions</v>
      </c>
      <c r="B263" s="3" t="s">
        <v>437</v>
      </c>
      <c r="C263" s="3" t="s">
        <v>329</v>
      </c>
      <c r="D263" s="3">
        <v>0.83689999999999998</v>
      </c>
      <c r="E263" s="3"/>
    </row>
    <row r="264" spans="1:5" x14ac:dyDescent="0.25">
      <c r="A264" t="str">
        <f t="shared" si="7"/>
        <v>Stand-level_volume_functions</v>
      </c>
      <c r="B264" s="3" t="s">
        <v>437</v>
      </c>
      <c r="C264" s="3" t="s">
        <v>330</v>
      </c>
      <c r="D264" s="3">
        <v>0</v>
      </c>
      <c r="E264" s="3"/>
    </row>
    <row r="265" spans="1:5" x14ac:dyDescent="0.25">
      <c r="A265" t="str">
        <f t="shared" si="7"/>
        <v>Stand-level_volume_functions</v>
      </c>
      <c r="B265" s="3" t="s">
        <v>438</v>
      </c>
      <c r="C265" s="3" t="s">
        <v>331</v>
      </c>
      <c r="D265" s="3">
        <v>2</v>
      </c>
      <c r="E265" s="3"/>
    </row>
    <row r="266" spans="1:5" x14ac:dyDescent="0.25">
      <c r="A266" t="str">
        <f t="shared" si="7"/>
        <v>Stand-level_volume_functions</v>
      </c>
      <c r="B266" s="3" t="s">
        <v>438</v>
      </c>
      <c r="C266" s="3" t="s">
        <v>332</v>
      </c>
      <c r="D266" s="3">
        <v>0.21729999999999999</v>
      </c>
      <c r="E266" s="3"/>
    </row>
    <row r="267" spans="1:5" x14ac:dyDescent="0.25">
      <c r="A267" t="str">
        <f t="shared" si="7"/>
        <v>Stand-level_volume_functions</v>
      </c>
      <c r="B267" s="3" t="s">
        <v>438</v>
      </c>
      <c r="C267" s="3" t="s">
        <v>333</v>
      </c>
      <c r="D267" s="3">
        <v>0.96319999999999995</v>
      </c>
      <c r="E267" s="3"/>
    </row>
    <row r="268" spans="1:5" x14ac:dyDescent="0.25">
      <c r="A268" t="str">
        <f t="shared" si="7"/>
        <v>Stand-level_volume_functions</v>
      </c>
      <c r="B268" s="3" t="s">
        <v>438</v>
      </c>
      <c r="C268" s="3" t="s">
        <v>334</v>
      </c>
      <c r="D268" s="3">
        <v>0.31159999999999999</v>
      </c>
      <c r="E268" s="3"/>
    </row>
    <row r="269" spans="1:5" x14ac:dyDescent="0.25">
      <c r="A269" t="str">
        <f t="shared" si="7"/>
        <v>Stand-level_volume_functions</v>
      </c>
      <c r="B269" s="3" t="s">
        <v>438</v>
      </c>
      <c r="C269" s="3" t="s">
        <v>335</v>
      </c>
      <c r="D269" s="3">
        <v>9.7199999999999995E-2</v>
      </c>
      <c r="E269" s="3"/>
    </row>
    <row r="270" spans="1:5" x14ac:dyDescent="0.25">
      <c r="A270" t="str">
        <f t="shared" si="7"/>
        <v>Stand-level_volume_functions</v>
      </c>
      <c r="B270" s="3" t="s">
        <v>439</v>
      </c>
      <c r="C270" s="3" t="s">
        <v>336</v>
      </c>
      <c r="D270" s="3">
        <f>VLOOKUP(E270,$F$23:$G$30,2,FALSE)</f>
        <v>1</v>
      </c>
      <c r="E270" s="3" t="s">
        <v>556</v>
      </c>
    </row>
    <row r="271" spans="1:5" x14ac:dyDescent="0.25">
      <c r="A271" t="str">
        <f t="shared" si="7"/>
        <v>Stand-level_volume_functions</v>
      </c>
      <c r="B271" s="3" t="s">
        <v>439</v>
      </c>
      <c r="C271" s="3" t="s">
        <v>337</v>
      </c>
      <c r="D271" s="3">
        <v>0.317</v>
      </c>
      <c r="E271" s="3"/>
    </row>
    <row r="272" spans="1:5" x14ac:dyDescent="0.25">
      <c r="A272" t="str">
        <f t="shared" si="7"/>
        <v>Stand-level_volume_functions</v>
      </c>
      <c r="B272" s="3" t="s">
        <v>439</v>
      </c>
      <c r="C272" s="3" t="s">
        <v>338</v>
      </c>
      <c r="D272" s="3">
        <v>0.94199999999999995</v>
      </c>
      <c r="E272" s="3"/>
    </row>
    <row r="273" spans="1:6" x14ac:dyDescent="0.25">
      <c r="A273" t="str">
        <f t="shared" si="7"/>
        <v>Stand-level_volume_functions</v>
      </c>
      <c r="B273" s="3" t="s">
        <v>439</v>
      </c>
      <c r="C273" s="3" t="s">
        <v>339</v>
      </c>
      <c r="D273" s="3">
        <v>1.161</v>
      </c>
      <c r="E273" s="3"/>
    </row>
    <row r="274" spans="1:6" x14ac:dyDescent="0.25">
      <c r="A274" t="str">
        <f t="shared" si="7"/>
        <v>Stand-level_volume_functions</v>
      </c>
      <c r="B274" s="3" t="s">
        <v>439</v>
      </c>
      <c r="C274" s="3" t="s">
        <v>340</v>
      </c>
      <c r="D274" s="3">
        <v>0</v>
      </c>
      <c r="E274" s="3"/>
    </row>
    <row r="275" spans="1:6" x14ac:dyDescent="0.25">
      <c r="A275" t="str">
        <f t="shared" si="7"/>
        <v>Stand-level_volume_functions</v>
      </c>
      <c r="B275" s="3" t="s">
        <v>440</v>
      </c>
      <c r="C275" s="3" t="s">
        <v>341</v>
      </c>
      <c r="D275" s="3">
        <f>VLOOKUP(E275,$F$23:$G$30,2,FALSE)</f>
        <v>3</v>
      </c>
      <c r="E275" s="3" t="s">
        <v>557</v>
      </c>
      <c r="F275" s="3"/>
    </row>
    <row r="276" spans="1:6" x14ac:dyDescent="0.25">
      <c r="A276" t="str">
        <f t="shared" si="7"/>
        <v>Stand-level_volume_functions</v>
      </c>
      <c r="B276" s="3" t="s">
        <v>440</v>
      </c>
      <c r="C276" s="3" t="s">
        <v>342</v>
      </c>
      <c r="D276" s="3">
        <v>0.32079999999999997</v>
      </c>
      <c r="E276" s="3"/>
    </row>
    <row r="277" spans="1:6" x14ac:dyDescent="0.25">
      <c r="A277" t="str">
        <f t="shared" si="7"/>
        <v>Stand-level_volume_functions</v>
      </c>
      <c r="B277" s="3" t="s">
        <v>440</v>
      </c>
      <c r="C277" s="3" t="s">
        <v>343</v>
      </c>
      <c r="D277" s="3">
        <v>0.92800000000000005</v>
      </c>
      <c r="E277" s="3"/>
    </row>
    <row r="278" spans="1:6" x14ac:dyDescent="0.25">
      <c r="A278" t="str">
        <f t="shared" si="7"/>
        <v>Stand-level_volume_functions</v>
      </c>
      <c r="B278" s="3" t="s">
        <v>440</v>
      </c>
      <c r="C278" s="3" t="s">
        <v>344</v>
      </c>
      <c r="D278" s="3">
        <v>0</v>
      </c>
      <c r="E278" s="3"/>
    </row>
    <row r="279" spans="1:6" x14ac:dyDescent="0.25">
      <c r="A279" t="str">
        <f t="shared" si="7"/>
        <v>Stand-level_volume_functions</v>
      </c>
      <c r="B279" s="3" t="s">
        <v>440</v>
      </c>
      <c r="C279" s="3" t="s">
        <v>345</v>
      </c>
      <c r="D279" s="3">
        <v>0</v>
      </c>
      <c r="E279" s="3"/>
    </row>
    <row r="280" spans="1:6" x14ac:dyDescent="0.25">
      <c r="A280" s="1" t="s">
        <v>520</v>
      </c>
      <c r="B280" s="3" t="s">
        <v>430</v>
      </c>
      <c r="C280" s="3" t="s">
        <v>346</v>
      </c>
      <c r="D280" s="3">
        <v>0.78</v>
      </c>
      <c r="E280" s="3"/>
    </row>
    <row r="281" spans="1:6" x14ac:dyDescent="0.25">
      <c r="A281" t="str">
        <f>A280</f>
        <v>Thinning_coefficients</v>
      </c>
      <c r="B281" s="3" t="s">
        <v>429</v>
      </c>
      <c r="C281" s="3" t="s">
        <v>347</v>
      </c>
      <c r="D281" s="3">
        <v>0.7</v>
      </c>
      <c r="E281" s="3"/>
    </row>
    <row r="282" spans="1:6" x14ac:dyDescent="0.25">
      <c r="A282" t="str">
        <f>A281</f>
        <v>Thinning_coefficients</v>
      </c>
      <c r="B282" s="3" t="s">
        <v>433</v>
      </c>
      <c r="C282" s="3" t="s">
        <v>348</v>
      </c>
      <c r="D282" s="3">
        <v>0.76500000000000001</v>
      </c>
      <c r="E282" s="3"/>
    </row>
    <row r="283" spans="1:6" x14ac:dyDescent="0.25">
      <c r="A283" t="str">
        <f>A282</f>
        <v>Thinning_coefficients</v>
      </c>
      <c r="B283" s="3" t="s">
        <v>443</v>
      </c>
      <c r="C283" s="3" t="s">
        <v>349</v>
      </c>
      <c r="D283" s="3">
        <v>0.7</v>
      </c>
      <c r="E283" s="3"/>
    </row>
    <row r="284" spans="1:6" x14ac:dyDescent="0.25">
      <c r="A284" t="str">
        <f>A283</f>
        <v>Thinning_coefficients</v>
      </c>
      <c r="B284" s="3" t="s">
        <v>439</v>
      </c>
      <c r="C284" s="3" t="s">
        <v>350</v>
      </c>
      <c r="D284" s="3">
        <v>0.78400000000000003</v>
      </c>
      <c r="E284" s="3"/>
    </row>
    <row r="285" spans="1:6" x14ac:dyDescent="0.25">
      <c r="A285" t="str">
        <f>A284</f>
        <v>Thinning_coefficients</v>
      </c>
      <c r="B285" s="3" t="s">
        <v>440</v>
      </c>
      <c r="C285" s="3" t="s">
        <v>351</v>
      </c>
      <c r="D285" s="3">
        <v>0.70499999999999996</v>
      </c>
      <c r="E285" s="3"/>
    </row>
    <row r="286" spans="1:6" x14ac:dyDescent="0.25">
      <c r="A286" s="1" t="s">
        <v>521</v>
      </c>
      <c r="B286" s="3" t="s">
        <v>430</v>
      </c>
      <c r="C286" s="3" t="s">
        <v>352</v>
      </c>
      <c r="D286" s="3">
        <v>1.67E-3</v>
      </c>
      <c r="E286" s="3"/>
    </row>
    <row r="287" spans="1:6" x14ac:dyDescent="0.25">
      <c r="A287" t="str">
        <f t="shared" ref="A287:A321" si="8">A286</f>
        <v>Mortality_function</v>
      </c>
      <c r="B287" s="3" t="s">
        <v>430</v>
      </c>
      <c r="C287" s="3" t="s">
        <v>353</v>
      </c>
      <c r="D287" s="3">
        <v>3.6800000000000001E-3</v>
      </c>
      <c r="E287" s="3"/>
    </row>
    <row r="288" spans="1:6" x14ac:dyDescent="0.25">
      <c r="A288" t="str">
        <f t="shared" si="8"/>
        <v>Mortality_function</v>
      </c>
      <c r="B288" s="3" t="s">
        <v>430</v>
      </c>
      <c r="C288" s="3" t="s">
        <v>354</v>
      </c>
      <c r="D288" s="3">
        <v>3.56</v>
      </c>
      <c r="E288" s="3"/>
    </row>
    <row r="289" spans="1:5" x14ac:dyDescent="0.25">
      <c r="A289" t="str">
        <f t="shared" si="8"/>
        <v>Mortality_function</v>
      </c>
      <c r="B289" s="5" t="s">
        <v>444</v>
      </c>
      <c r="C289" s="3" t="s">
        <v>355</v>
      </c>
      <c r="D289" s="3">
        <v>4.8999999999999998E-3</v>
      </c>
      <c r="E289" s="3"/>
    </row>
    <row r="290" spans="1:5" x14ac:dyDescent="0.25">
      <c r="A290" t="str">
        <f t="shared" si="8"/>
        <v>Mortality_function</v>
      </c>
      <c r="B290" s="5" t="s">
        <v>444</v>
      </c>
      <c r="C290" s="3" t="s">
        <v>356</v>
      </c>
      <c r="D290" s="3">
        <v>3.1399999999999997E-2</v>
      </c>
      <c r="E290" s="3"/>
    </row>
    <row r="291" spans="1:5" x14ac:dyDescent="0.25">
      <c r="A291" t="str">
        <f t="shared" si="8"/>
        <v>Mortality_function</v>
      </c>
      <c r="B291" s="5" t="s">
        <v>444</v>
      </c>
      <c r="C291" s="3" t="s">
        <v>357</v>
      </c>
      <c r="D291" s="3">
        <v>1.41</v>
      </c>
      <c r="E291" s="3"/>
    </row>
    <row r="292" spans="1:5" x14ac:dyDescent="0.25">
      <c r="A292" t="str">
        <f t="shared" si="8"/>
        <v>Mortality_function</v>
      </c>
      <c r="B292" s="5" t="s">
        <v>6</v>
      </c>
      <c r="C292" s="3" t="s">
        <v>358</v>
      </c>
      <c r="D292" s="3">
        <v>5.4000000000000003E-3</v>
      </c>
      <c r="E292" s="3"/>
    </row>
    <row r="293" spans="1:5" x14ac:dyDescent="0.25">
      <c r="A293" t="str">
        <f t="shared" si="8"/>
        <v>Mortality_function</v>
      </c>
      <c r="B293" s="5" t="s">
        <v>6</v>
      </c>
      <c r="C293" s="3" t="s">
        <v>359</v>
      </c>
      <c r="D293" s="3">
        <v>3.1399999999999997E-2</v>
      </c>
      <c r="E293" s="3"/>
    </row>
    <row r="294" spans="1:5" x14ac:dyDescent="0.25">
      <c r="A294" t="str">
        <f t="shared" si="8"/>
        <v>Mortality_function</v>
      </c>
      <c r="B294" s="5" t="s">
        <v>6</v>
      </c>
      <c r="C294" s="3" t="s">
        <v>360</v>
      </c>
      <c r="D294" s="3">
        <v>1.41</v>
      </c>
      <c r="E294" s="3"/>
    </row>
    <row r="295" spans="1:5" x14ac:dyDescent="0.25">
      <c r="A295" t="str">
        <f t="shared" si="8"/>
        <v>Mortality_function</v>
      </c>
      <c r="B295" s="5" t="s">
        <v>444</v>
      </c>
      <c r="C295" s="3" t="s">
        <v>361</v>
      </c>
      <c r="D295" s="3">
        <v>1.03E-2</v>
      </c>
      <c r="E295" s="3"/>
    </row>
    <row r="296" spans="1:5" x14ac:dyDescent="0.25">
      <c r="A296" t="str">
        <f t="shared" si="8"/>
        <v>Mortality_function</v>
      </c>
      <c r="B296" s="5" t="s">
        <v>444</v>
      </c>
      <c r="C296" s="3" t="s">
        <v>362</v>
      </c>
      <c r="D296" s="3">
        <v>3.1399999999999997E-2</v>
      </c>
      <c r="E296" s="3"/>
    </row>
    <row r="297" spans="1:5" x14ac:dyDescent="0.25">
      <c r="A297" t="str">
        <f t="shared" si="8"/>
        <v>Mortality_function</v>
      </c>
      <c r="B297" s="5" t="s">
        <v>444</v>
      </c>
      <c r="C297" s="3" t="s">
        <v>363</v>
      </c>
      <c r="D297" s="3">
        <v>1.41</v>
      </c>
      <c r="E297" s="3"/>
    </row>
    <row r="298" spans="1:5" x14ac:dyDescent="0.25">
      <c r="A298" t="str">
        <f t="shared" si="8"/>
        <v>Mortality_function</v>
      </c>
      <c r="B298" s="5" t="s">
        <v>6</v>
      </c>
      <c r="C298" s="3" t="s">
        <v>364</v>
      </c>
      <c r="D298" s="3">
        <v>0</v>
      </c>
      <c r="E298" s="3"/>
    </row>
    <row r="299" spans="1:5" x14ac:dyDescent="0.25">
      <c r="A299" t="str">
        <f t="shared" si="8"/>
        <v>Mortality_function</v>
      </c>
      <c r="B299" s="5" t="s">
        <v>6</v>
      </c>
      <c r="C299" s="3" t="s">
        <v>365</v>
      </c>
      <c r="D299" s="3">
        <v>3.1399999999999997E-2</v>
      </c>
      <c r="E299" s="3"/>
    </row>
    <row r="300" spans="1:5" x14ac:dyDescent="0.25">
      <c r="A300" t="str">
        <f t="shared" si="8"/>
        <v>Mortality_function</v>
      </c>
      <c r="B300" s="5" t="s">
        <v>6</v>
      </c>
      <c r="C300" s="3" t="s">
        <v>366</v>
      </c>
      <c r="D300" s="3">
        <v>1.41</v>
      </c>
      <c r="E300" s="3"/>
    </row>
    <row r="301" spans="1:5" x14ac:dyDescent="0.25">
      <c r="A301" t="str">
        <f t="shared" si="8"/>
        <v>Mortality_function</v>
      </c>
      <c r="B301" s="3" t="s">
        <v>433</v>
      </c>
      <c r="C301" s="3" t="s">
        <v>367</v>
      </c>
      <c r="D301" s="3">
        <v>9.5600000000000008E-3</v>
      </c>
      <c r="E301" s="3"/>
    </row>
    <row r="302" spans="1:5" x14ac:dyDescent="0.25">
      <c r="A302" t="str">
        <f t="shared" si="8"/>
        <v>Mortality_function</v>
      </c>
      <c r="B302" s="3" t="s">
        <v>433</v>
      </c>
      <c r="C302" s="3" t="s">
        <v>368</v>
      </c>
      <c r="D302" s="3">
        <v>3.2489999999999998E-2</v>
      </c>
      <c r="E302" s="3"/>
    </row>
    <row r="303" spans="1:5" x14ac:dyDescent="0.25">
      <c r="A303" t="str">
        <f t="shared" si="8"/>
        <v>Mortality_function</v>
      </c>
      <c r="B303" s="3" t="s">
        <v>433</v>
      </c>
      <c r="C303" s="3" t="s">
        <v>369</v>
      </c>
      <c r="D303" s="3">
        <v>2.798</v>
      </c>
      <c r="E303" s="3"/>
    </row>
    <row r="304" spans="1:5" x14ac:dyDescent="0.25">
      <c r="A304" t="str">
        <f t="shared" si="8"/>
        <v>Mortality_function</v>
      </c>
      <c r="B304" s="3" t="s">
        <v>434</v>
      </c>
      <c r="C304" s="3" t="s">
        <v>370</v>
      </c>
      <c r="D304" s="3">
        <v>1.5900000000000001E-2</v>
      </c>
      <c r="E304" s="3"/>
    </row>
    <row r="305" spans="1:5" x14ac:dyDescent="0.25">
      <c r="A305" t="str">
        <f t="shared" si="8"/>
        <v>Mortality_function</v>
      </c>
      <c r="B305" s="3" t="s">
        <v>434</v>
      </c>
      <c r="C305" s="3" t="s">
        <v>371</v>
      </c>
      <c r="D305" s="3">
        <v>3.2489999999999998E-2</v>
      </c>
      <c r="E305" s="3"/>
    </row>
    <row r="306" spans="1:5" x14ac:dyDescent="0.25">
      <c r="A306" t="str">
        <f t="shared" si="8"/>
        <v>Mortality_function</v>
      </c>
      <c r="B306" s="3" t="s">
        <v>434</v>
      </c>
      <c r="C306" s="3" t="s">
        <v>372</v>
      </c>
      <c r="D306" s="3">
        <v>2.798</v>
      </c>
      <c r="E306" s="3"/>
    </row>
    <row r="307" spans="1:5" x14ac:dyDescent="0.25">
      <c r="A307" t="str">
        <f t="shared" si="8"/>
        <v>Mortality_function</v>
      </c>
      <c r="B307" s="3" t="s">
        <v>435</v>
      </c>
      <c r="C307" s="3" t="s">
        <v>373</v>
      </c>
      <c r="D307" s="3">
        <v>1.5100000000000001E-2</v>
      </c>
      <c r="E307" s="3"/>
    </row>
    <row r="308" spans="1:5" x14ac:dyDescent="0.25">
      <c r="A308" t="str">
        <f t="shared" si="8"/>
        <v>Mortality_function</v>
      </c>
      <c r="B308" s="3" t="s">
        <v>435</v>
      </c>
      <c r="C308" s="3" t="s">
        <v>374</v>
      </c>
      <c r="D308" s="3">
        <v>3.2489999999999998E-2</v>
      </c>
      <c r="E308" s="3"/>
    </row>
    <row r="309" spans="1:5" x14ac:dyDescent="0.25">
      <c r="A309" t="str">
        <f t="shared" si="8"/>
        <v>Mortality_function</v>
      </c>
      <c r="B309" s="3" t="s">
        <v>435</v>
      </c>
      <c r="C309" s="3" t="s">
        <v>375</v>
      </c>
      <c r="D309" s="3">
        <v>2.798</v>
      </c>
      <c r="E309" s="3"/>
    </row>
    <row r="310" spans="1:5" x14ac:dyDescent="0.25">
      <c r="A310" t="str">
        <f t="shared" si="8"/>
        <v>Mortality_function</v>
      </c>
      <c r="B310" s="5" t="s">
        <v>444</v>
      </c>
      <c r="C310" s="3" t="s">
        <v>376</v>
      </c>
      <c r="D310" s="3">
        <v>1.83E-2</v>
      </c>
      <c r="E310" s="3"/>
    </row>
    <row r="311" spans="1:5" x14ac:dyDescent="0.25">
      <c r="A311" t="str">
        <f t="shared" si="8"/>
        <v>Mortality_function</v>
      </c>
      <c r="B311" s="5" t="s">
        <v>444</v>
      </c>
      <c r="C311" s="3" t="s">
        <v>377</v>
      </c>
      <c r="D311" s="3">
        <v>0.46920000000000001</v>
      </c>
      <c r="E311" s="3"/>
    </row>
    <row r="312" spans="1:5" x14ac:dyDescent="0.25">
      <c r="A312" t="str">
        <f t="shared" si="8"/>
        <v>Mortality_function</v>
      </c>
      <c r="B312" s="5" t="s">
        <v>444</v>
      </c>
      <c r="C312" s="3" t="s">
        <v>378</v>
      </c>
      <c r="D312" s="3">
        <v>2.798</v>
      </c>
      <c r="E312" s="3"/>
    </row>
    <row r="313" spans="1:5" x14ac:dyDescent="0.25">
      <c r="A313" t="str">
        <f t="shared" si="8"/>
        <v>Mortality_function</v>
      </c>
      <c r="B313" s="5" t="s">
        <v>6</v>
      </c>
      <c r="C313" s="3" t="s">
        <v>379</v>
      </c>
      <c r="D313" s="3">
        <v>6.0800000000000003E-3</v>
      </c>
      <c r="E313" s="3"/>
    </row>
    <row r="314" spans="1:5" x14ac:dyDescent="0.25">
      <c r="A314" t="str">
        <f t="shared" si="8"/>
        <v>Mortality_function</v>
      </c>
      <c r="B314" s="5" t="s">
        <v>6</v>
      </c>
      <c r="C314" s="3" t="s">
        <v>380</v>
      </c>
      <c r="D314" s="3">
        <v>3.2489999999999998E-2</v>
      </c>
      <c r="E314" s="3"/>
    </row>
    <row r="315" spans="1:5" x14ac:dyDescent="0.25">
      <c r="A315" t="str">
        <f t="shared" si="8"/>
        <v>Mortality_function</v>
      </c>
      <c r="B315" s="5" t="s">
        <v>6</v>
      </c>
      <c r="C315" s="3" t="s">
        <v>381</v>
      </c>
      <c r="D315" s="3">
        <v>2.798</v>
      </c>
      <c r="E315" s="3"/>
    </row>
    <row r="316" spans="1:5" x14ac:dyDescent="0.25">
      <c r="A316" t="str">
        <f t="shared" si="8"/>
        <v>Mortality_function</v>
      </c>
      <c r="B316" s="3" t="s">
        <v>437</v>
      </c>
      <c r="C316" s="3" t="s">
        <v>382</v>
      </c>
      <c r="D316" s="3">
        <v>1.4200000000000001E-2</v>
      </c>
      <c r="E316" s="3"/>
    </row>
    <row r="317" spans="1:5" x14ac:dyDescent="0.25">
      <c r="A317" t="str">
        <f t="shared" si="8"/>
        <v>Mortality_function</v>
      </c>
      <c r="B317" s="3" t="s">
        <v>437</v>
      </c>
      <c r="C317" s="3" t="s">
        <v>383</v>
      </c>
      <c r="D317" s="3">
        <v>3.2489999999999998E-2</v>
      </c>
      <c r="E317" s="3"/>
    </row>
    <row r="318" spans="1:5" x14ac:dyDescent="0.25">
      <c r="A318" t="str">
        <f t="shared" si="8"/>
        <v>Mortality_function</v>
      </c>
      <c r="B318" s="3" t="s">
        <v>437</v>
      </c>
      <c r="C318" s="3" t="s">
        <v>384</v>
      </c>
      <c r="D318" s="3">
        <v>2.798</v>
      </c>
      <c r="E318" s="3"/>
    </row>
    <row r="319" spans="1:5" x14ac:dyDescent="0.25">
      <c r="A319" t="str">
        <f t="shared" si="8"/>
        <v>Mortality_function</v>
      </c>
      <c r="B319" s="3" t="s">
        <v>438</v>
      </c>
      <c r="C319" s="3" t="s">
        <v>385</v>
      </c>
      <c r="D319" s="3">
        <v>7.4200000000000004E-3</v>
      </c>
      <c r="E319" s="3"/>
    </row>
    <row r="320" spans="1:5" x14ac:dyDescent="0.25">
      <c r="A320" t="str">
        <f t="shared" si="8"/>
        <v>Mortality_function</v>
      </c>
      <c r="B320" s="3" t="s">
        <v>438</v>
      </c>
      <c r="C320" s="3" t="s">
        <v>386</v>
      </c>
      <c r="D320" s="3">
        <v>3.2489999999999998E-2</v>
      </c>
      <c r="E320" s="3"/>
    </row>
    <row r="321" spans="1:5" x14ac:dyDescent="0.25">
      <c r="A321" t="str">
        <f t="shared" si="8"/>
        <v>Mortality_function</v>
      </c>
      <c r="B321" s="3" t="s">
        <v>438</v>
      </c>
      <c r="C321" s="3" t="s">
        <v>387</v>
      </c>
      <c r="D321" s="3">
        <v>2.798</v>
      </c>
      <c r="E321" s="3"/>
    </row>
    <row r="322" spans="1:5" x14ac:dyDescent="0.25">
      <c r="A322" s="1" t="s">
        <v>552</v>
      </c>
      <c r="B322" s="3" t="s">
        <v>430</v>
      </c>
      <c r="C322" s="3" t="s">
        <v>388</v>
      </c>
      <c r="D322" s="3">
        <v>339</v>
      </c>
      <c r="E322" s="3"/>
    </row>
    <row r="323" spans="1:5" x14ac:dyDescent="0.25">
      <c r="A323" t="str">
        <f t="shared" ref="A323:A337" si="9">A322</f>
        <v>Wood_density_models</v>
      </c>
      <c r="B323" s="3" t="s">
        <v>430</v>
      </c>
      <c r="C323" s="3" t="s">
        <v>389</v>
      </c>
      <c r="D323" s="3">
        <v>0</v>
      </c>
      <c r="E323" s="3"/>
    </row>
    <row r="324" spans="1:5" x14ac:dyDescent="0.25">
      <c r="A324" t="str">
        <f t="shared" si="9"/>
        <v>Wood_density_models</v>
      </c>
      <c r="B324" s="3" t="s">
        <v>429</v>
      </c>
      <c r="C324" s="3" t="s">
        <v>390</v>
      </c>
      <c r="D324" s="3">
        <v>404</v>
      </c>
      <c r="E324" s="3"/>
    </row>
    <row r="325" spans="1:5" x14ac:dyDescent="0.25">
      <c r="A325" t="str">
        <f t="shared" si="9"/>
        <v>Wood_density_models</v>
      </c>
      <c r="B325" s="3" t="s">
        <v>429</v>
      </c>
      <c r="C325" s="3" t="s">
        <v>391</v>
      </c>
      <c r="D325" s="3">
        <v>0</v>
      </c>
      <c r="E325" s="3"/>
    </row>
    <row r="326" spans="1:5" x14ac:dyDescent="0.25">
      <c r="A326" t="str">
        <f t="shared" si="9"/>
        <v>Wood_density_models</v>
      </c>
      <c r="B326" s="3" t="s">
        <v>433</v>
      </c>
      <c r="C326" s="3" t="s">
        <v>392</v>
      </c>
      <c r="D326" s="3">
        <v>321</v>
      </c>
      <c r="E326" s="3"/>
    </row>
    <row r="327" spans="1:5" x14ac:dyDescent="0.25">
      <c r="A327" t="str">
        <f t="shared" si="9"/>
        <v>Wood_density_models</v>
      </c>
      <c r="B327" s="3" t="s">
        <v>433</v>
      </c>
      <c r="C327" s="3" t="s">
        <v>393</v>
      </c>
      <c r="D327" s="3">
        <v>60.7</v>
      </c>
      <c r="E327" s="3"/>
    </row>
    <row r="328" spans="1:5" x14ac:dyDescent="0.25">
      <c r="A328" t="str">
        <f t="shared" si="9"/>
        <v>Wood_density_models</v>
      </c>
      <c r="B328" s="3" t="s">
        <v>434</v>
      </c>
      <c r="C328" s="3" t="s">
        <v>394</v>
      </c>
      <c r="D328" s="3">
        <v>313</v>
      </c>
      <c r="E328" s="3"/>
    </row>
    <row r="329" spans="1:5" x14ac:dyDescent="0.25">
      <c r="A329" t="str">
        <f t="shared" si="9"/>
        <v>Wood_density_models</v>
      </c>
      <c r="B329" s="3" t="s">
        <v>434</v>
      </c>
      <c r="C329" s="3" t="s">
        <v>395</v>
      </c>
      <c r="D329" s="3">
        <v>41.1</v>
      </c>
      <c r="E329" s="3"/>
    </row>
    <row r="330" spans="1:5" x14ac:dyDescent="0.25">
      <c r="A330" t="str">
        <f t="shared" si="9"/>
        <v>Wood_density_models</v>
      </c>
      <c r="B330" s="3" t="s">
        <v>435</v>
      </c>
      <c r="C330" s="3" t="s">
        <v>396</v>
      </c>
      <c r="D330" s="3">
        <v>351</v>
      </c>
      <c r="E330" s="3"/>
    </row>
    <row r="331" spans="1:5" x14ac:dyDescent="0.25">
      <c r="A331" t="str">
        <f t="shared" si="9"/>
        <v>Wood_density_models</v>
      </c>
      <c r="B331" s="3" t="s">
        <v>435</v>
      </c>
      <c r="C331" s="3" t="s">
        <v>397</v>
      </c>
      <c r="D331" s="3">
        <v>43.2</v>
      </c>
      <c r="E331" s="3"/>
    </row>
    <row r="332" spans="1:5" x14ac:dyDescent="0.25">
      <c r="A332" t="str">
        <f t="shared" si="9"/>
        <v>Wood_density_models</v>
      </c>
      <c r="B332" s="3" t="s">
        <v>436</v>
      </c>
      <c r="C332" s="3" t="s">
        <v>398</v>
      </c>
      <c r="D332" s="3">
        <v>313</v>
      </c>
      <c r="E332" s="3"/>
    </row>
    <row r="333" spans="1:5" x14ac:dyDescent="0.25">
      <c r="A333" t="str">
        <f t="shared" si="9"/>
        <v>Wood_density_models</v>
      </c>
      <c r="B333" s="3" t="s">
        <v>436</v>
      </c>
      <c r="C333" s="3" t="s">
        <v>399</v>
      </c>
      <c r="D333" s="3">
        <v>60.7</v>
      </c>
      <c r="E333" s="3"/>
    </row>
    <row r="334" spans="1:5" x14ac:dyDescent="0.25">
      <c r="A334" t="str">
        <f t="shared" si="9"/>
        <v>Wood_density_models</v>
      </c>
      <c r="B334" s="3" t="s">
        <v>437</v>
      </c>
      <c r="C334" s="3" t="s">
        <v>400</v>
      </c>
      <c r="D334" s="3">
        <v>318</v>
      </c>
      <c r="E334" s="3"/>
    </row>
    <row r="335" spans="1:5" x14ac:dyDescent="0.25">
      <c r="A335" t="str">
        <f t="shared" si="9"/>
        <v>Wood_density_models</v>
      </c>
      <c r="B335" s="3" t="s">
        <v>437</v>
      </c>
      <c r="C335" s="3" t="s">
        <v>401</v>
      </c>
      <c r="D335" s="3">
        <v>41.1</v>
      </c>
      <c r="E335" s="3"/>
    </row>
    <row r="336" spans="1:5" x14ac:dyDescent="0.25">
      <c r="A336" t="str">
        <f t="shared" si="9"/>
        <v>Wood_density_models</v>
      </c>
      <c r="B336" s="3" t="s">
        <v>438</v>
      </c>
      <c r="C336" s="3" t="s">
        <v>402</v>
      </c>
      <c r="D336" s="3">
        <v>320</v>
      </c>
      <c r="E336" s="3"/>
    </row>
    <row r="337" spans="1:5" x14ac:dyDescent="0.25">
      <c r="A337" t="str">
        <f t="shared" si="9"/>
        <v>Wood_density_models</v>
      </c>
      <c r="B337" s="3" t="s">
        <v>438</v>
      </c>
      <c r="C337" s="3" t="s">
        <v>403</v>
      </c>
      <c r="D337" s="3">
        <v>78.2</v>
      </c>
      <c r="E337" s="3"/>
    </row>
    <row r="338" spans="1:5" x14ac:dyDescent="0.25">
      <c r="A338" s="1" t="s">
        <v>522</v>
      </c>
      <c r="B338" s="3" t="s">
        <v>430</v>
      </c>
      <c r="C338" s="3" t="s">
        <v>523</v>
      </c>
      <c r="D338" s="3">
        <v>0.70199999999999996</v>
      </c>
      <c r="E338" s="3"/>
    </row>
    <row r="339" spans="1:5" x14ac:dyDescent="0.25">
      <c r="A339" t="str">
        <f t="shared" ref="A339:A345" si="10">A338</f>
        <v>T458_redwood_volume_and_taper_model</v>
      </c>
      <c r="B339" s="3" t="s">
        <v>430</v>
      </c>
      <c r="C339" s="3" t="s">
        <v>404</v>
      </c>
      <c r="D339" s="3">
        <v>0.56459999999999999</v>
      </c>
      <c r="E339" s="3"/>
    </row>
    <row r="340" spans="1:5" x14ac:dyDescent="0.25">
      <c r="A340" t="str">
        <f t="shared" si="10"/>
        <v>T458_redwood_volume_and_taper_model</v>
      </c>
      <c r="B340" s="3" t="s">
        <v>430</v>
      </c>
      <c r="C340" s="3" t="s">
        <v>405</v>
      </c>
      <c r="D340" s="3">
        <v>-0.61880000000000002</v>
      </c>
      <c r="E340" s="3"/>
    </row>
    <row r="341" spans="1:5" x14ac:dyDescent="0.25">
      <c r="A341" t="str">
        <f t="shared" si="10"/>
        <v>T458_redwood_volume_and_taper_model</v>
      </c>
      <c r="B341" s="3" t="s">
        <v>430</v>
      </c>
      <c r="C341" s="3" t="s">
        <v>406</v>
      </c>
      <c r="D341" s="3">
        <v>2.6295000000000002</v>
      </c>
      <c r="E341" s="3"/>
    </row>
    <row r="342" spans="1:5" x14ac:dyDescent="0.25">
      <c r="A342" t="str">
        <f t="shared" si="10"/>
        <v>T458_redwood_volume_and_taper_model</v>
      </c>
      <c r="B342" s="3" t="s">
        <v>430</v>
      </c>
      <c r="C342" s="3" t="s">
        <v>407</v>
      </c>
      <c r="D342" s="3">
        <v>0.1406</v>
      </c>
      <c r="E342" s="3"/>
    </row>
    <row r="343" spans="1:5" x14ac:dyDescent="0.25">
      <c r="A343" t="str">
        <f t="shared" si="10"/>
        <v>T458_redwood_volume_and_taper_model</v>
      </c>
      <c r="B343" s="3" t="s">
        <v>430</v>
      </c>
      <c r="C343" s="3" t="s">
        <v>408</v>
      </c>
      <c r="D343" s="3">
        <v>0.14549999999999999</v>
      </c>
      <c r="E343" s="3"/>
    </row>
    <row r="344" spans="1:5" x14ac:dyDescent="0.25">
      <c r="A344" t="str">
        <f t="shared" si="10"/>
        <v>T458_redwood_volume_and_taper_model</v>
      </c>
      <c r="B344" s="3" t="s">
        <v>430</v>
      </c>
      <c r="C344" s="3" t="s">
        <v>409</v>
      </c>
      <c r="D344" s="3">
        <v>-0.1275</v>
      </c>
      <c r="E344" s="3"/>
    </row>
    <row r="345" spans="1:5" x14ac:dyDescent="0.25">
      <c r="A345" t="str">
        <f t="shared" si="10"/>
        <v>T458_redwood_volume_and_taper_model</v>
      </c>
      <c r="B345" s="3" t="s">
        <v>430</v>
      </c>
      <c r="C345" s="3" t="s">
        <v>410</v>
      </c>
      <c r="D345" s="3">
        <v>22.787299999999998</v>
      </c>
      <c r="E345" s="3"/>
    </row>
    <row r="346" spans="1:5" x14ac:dyDescent="0.25">
      <c r="A346" s="1" t="s">
        <v>524</v>
      </c>
      <c r="B346" s="3" t="s">
        <v>430</v>
      </c>
      <c r="C346" s="3" t="s">
        <v>525</v>
      </c>
      <c r="D346" s="3">
        <v>0.74719999999999998</v>
      </c>
      <c r="E346" s="3"/>
    </row>
    <row r="347" spans="1:5" x14ac:dyDescent="0.25">
      <c r="A347" t="str">
        <f t="shared" ref="A347:A353" si="11">A346</f>
        <v>T472_redwood_volume_and_taper_model</v>
      </c>
      <c r="B347" s="3" t="s">
        <v>430</v>
      </c>
      <c r="C347" s="3" t="s">
        <v>411</v>
      </c>
      <c r="D347" s="3">
        <v>0.36099999999999999</v>
      </c>
      <c r="E347" s="3"/>
    </row>
    <row r="348" spans="1:5" x14ac:dyDescent="0.25">
      <c r="A348" t="str">
        <f t="shared" si="11"/>
        <v>T472_redwood_volume_and_taper_model</v>
      </c>
      <c r="B348" s="3" t="s">
        <v>430</v>
      </c>
      <c r="C348" s="3" t="s">
        <v>412</v>
      </c>
      <c r="D348" s="3">
        <v>-0.45240000000000002</v>
      </c>
      <c r="E348" s="3"/>
    </row>
    <row r="349" spans="1:5" x14ac:dyDescent="0.25">
      <c r="A349" t="str">
        <f t="shared" si="11"/>
        <v>T472_redwood_volume_and_taper_model</v>
      </c>
      <c r="B349" s="3" t="s">
        <v>430</v>
      </c>
      <c r="C349" s="3" t="s">
        <v>413</v>
      </c>
      <c r="D349" s="3">
        <v>3.8508</v>
      </c>
      <c r="E349" s="3"/>
    </row>
    <row r="350" spans="1:5" x14ac:dyDescent="0.25">
      <c r="A350" t="str">
        <f t="shared" si="11"/>
        <v>T472_redwood_volume_and_taper_model</v>
      </c>
      <c r="B350" s="3" t="s">
        <v>430</v>
      </c>
      <c r="C350" s="3" t="s">
        <v>414</v>
      </c>
      <c r="D350" s="3">
        <v>0.27250000000000002</v>
      </c>
      <c r="E350" s="3"/>
    </row>
    <row r="351" spans="1:5" x14ac:dyDescent="0.25">
      <c r="A351" t="str">
        <f t="shared" si="11"/>
        <v>T472_redwood_volume_and_taper_model</v>
      </c>
      <c r="B351" s="3" t="s">
        <v>430</v>
      </c>
      <c r="C351" s="3" t="s">
        <v>415</v>
      </c>
      <c r="D351" s="3">
        <v>0.26579999999999998</v>
      </c>
      <c r="E351" s="3"/>
    </row>
    <row r="352" spans="1:5" x14ac:dyDescent="0.25">
      <c r="A352" t="str">
        <f t="shared" si="11"/>
        <v>T472_redwood_volume_and_taper_model</v>
      </c>
      <c r="B352" s="3" t="s">
        <v>430</v>
      </c>
      <c r="C352" s="3" t="s">
        <v>416</v>
      </c>
      <c r="D352" s="3">
        <v>5.0900000000000001E-2</v>
      </c>
      <c r="E352" s="3"/>
    </row>
    <row r="353" spans="1:5" x14ac:dyDescent="0.25">
      <c r="A353" t="str">
        <f t="shared" si="11"/>
        <v>T472_redwood_volume_and_taper_model</v>
      </c>
      <c r="B353" s="3" t="s">
        <v>430</v>
      </c>
      <c r="C353" s="3" t="s">
        <v>417</v>
      </c>
      <c r="D353" s="3">
        <v>21.959800000000001</v>
      </c>
      <c r="E353" s="3"/>
    </row>
    <row r="354" spans="1:5" x14ac:dyDescent="0.25">
      <c r="A354" s="1" t="s">
        <v>526</v>
      </c>
      <c r="B354" s="3"/>
      <c r="C354" s="3" t="s">
        <v>527</v>
      </c>
      <c r="D354" s="3">
        <v>1.4</v>
      </c>
      <c r="E354" s="3"/>
    </row>
    <row r="355" spans="1:5" x14ac:dyDescent="0.25">
      <c r="A355" t="str">
        <f>A354</f>
        <v>Other_constants</v>
      </c>
      <c r="B355" s="3"/>
      <c r="C355" s="3" t="s">
        <v>418</v>
      </c>
      <c r="D355" s="3">
        <v>3.14159265359873</v>
      </c>
      <c r="E355" s="3"/>
    </row>
    <row r="356" spans="1:5" x14ac:dyDescent="0.25">
      <c r="A356" s="1" t="s">
        <v>553</v>
      </c>
      <c r="B356" s="3" t="s">
        <v>430</v>
      </c>
      <c r="C356" s="3" t="s">
        <v>528</v>
      </c>
      <c r="D356" s="3">
        <v>0.74680000000000002</v>
      </c>
      <c r="E356" s="3"/>
    </row>
    <row r="357" spans="1:5" x14ac:dyDescent="0.25">
      <c r="A357" t="str">
        <f>A356</f>
        <v>Redwood_diamater_under-bark_model_(from_T468_report)</v>
      </c>
      <c r="B357" s="3" t="s">
        <v>430</v>
      </c>
      <c r="C357" s="3" t="s">
        <v>419</v>
      </c>
      <c r="D357" s="3">
        <v>0.3609</v>
      </c>
      <c r="E357" s="3"/>
    </row>
    <row r="358" spans="1:5" x14ac:dyDescent="0.25">
      <c r="A358" t="str">
        <f>A357</f>
        <v>Redwood_diamater_under-bark_model_(from_T468_report)</v>
      </c>
      <c r="B358" s="3" t="s">
        <v>430</v>
      </c>
      <c r="C358" s="3" t="s">
        <v>420</v>
      </c>
      <c r="D358" s="3">
        <v>-0.45240000000000002</v>
      </c>
      <c r="E358" s="3"/>
    </row>
    <row r="359" spans="1:5" x14ac:dyDescent="0.25">
      <c r="A359" s="1" t="s">
        <v>554</v>
      </c>
      <c r="B359" s="3" t="s">
        <v>430</v>
      </c>
      <c r="C359" s="3" t="s">
        <v>529</v>
      </c>
      <c r="D359" s="3">
        <v>0.28605999999999998</v>
      </c>
      <c r="E359" s="3"/>
    </row>
    <row r="360" spans="1:5" x14ac:dyDescent="0.25">
      <c r="A360" t="str">
        <f>A359</f>
        <v>Redwood_stand-level_volume_function_T472</v>
      </c>
      <c r="B360" s="3" t="s">
        <v>430</v>
      </c>
      <c r="C360" s="3" t="s">
        <v>421</v>
      </c>
      <c r="D360" s="3">
        <v>5.6238000000000001</v>
      </c>
      <c r="E360" s="3"/>
    </row>
    <row r="361" spans="1:5" x14ac:dyDescent="0.25">
      <c r="A361" t="str">
        <f>A360</f>
        <v>Redwood_stand-level_volume_function_T472</v>
      </c>
      <c r="B361" s="3" t="s">
        <v>430</v>
      </c>
      <c r="C361" s="3" t="s">
        <v>422</v>
      </c>
      <c r="D361" s="3">
        <v>2.4217</v>
      </c>
      <c r="E361" s="3"/>
    </row>
    <row r="362" spans="1:5" x14ac:dyDescent="0.25">
      <c r="A362" s="1" t="s">
        <v>555</v>
      </c>
      <c r="B362" s="3" t="s">
        <v>429</v>
      </c>
      <c r="C362" s="3" t="s">
        <v>530</v>
      </c>
      <c r="D362" s="3">
        <v>0.2944</v>
      </c>
      <c r="E362" s="3"/>
    </row>
    <row r="363" spans="1:5" x14ac:dyDescent="0.25">
      <c r="A363" t="str">
        <f>A362</f>
        <v>Cypress_stand-level_volume_function</v>
      </c>
      <c r="B363" s="3" t="s">
        <v>429</v>
      </c>
      <c r="C363" s="3" t="s">
        <v>423</v>
      </c>
      <c r="D363" s="3">
        <v>0.39729999999999999</v>
      </c>
      <c r="E363" s="3"/>
    </row>
    <row r="364" spans="1:5" x14ac:dyDescent="0.25">
      <c r="A364" t="str">
        <f>A363</f>
        <v>Cypress_stand-level_volume_function</v>
      </c>
      <c r="B364" s="3" t="s">
        <v>429</v>
      </c>
      <c r="C364" s="3" t="s">
        <v>424</v>
      </c>
      <c r="D364" s="3">
        <v>0.58660000000000001</v>
      </c>
      <c r="E364" s="3"/>
    </row>
    <row r="365" spans="1:5" x14ac:dyDescent="0.25">
      <c r="A365" s="1" t="s">
        <v>531</v>
      </c>
      <c r="B365" s="3" t="s">
        <v>430</v>
      </c>
      <c r="C365" s="3" t="s">
        <v>532</v>
      </c>
      <c r="D365" s="3">
        <v>0.1376</v>
      </c>
      <c r="E365" s="3"/>
    </row>
    <row r="366" spans="1:5" x14ac:dyDescent="0.25">
      <c r="A366" t="str">
        <f>A365</f>
        <v>Redwood_height_conversion_equation</v>
      </c>
      <c r="B366" s="3" t="s">
        <v>430</v>
      </c>
      <c r="C366" s="3" t="s">
        <v>425</v>
      </c>
      <c r="D366" s="3">
        <v>-6.221E-3</v>
      </c>
      <c r="E366" s="3"/>
    </row>
    <row r="367" spans="1:5" x14ac:dyDescent="0.25">
      <c r="A367" s="1" t="s">
        <v>533</v>
      </c>
      <c r="B367" s="3" t="s">
        <v>429</v>
      </c>
      <c r="C367" s="3" t="s">
        <v>534</v>
      </c>
      <c r="D367" s="3">
        <v>0.19209999999999999</v>
      </c>
      <c r="E367" s="3"/>
    </row>
    <row r="368" spans="1:5" x14ac:dyDescent="0.25">
      <c r="A368" t="str">
        <f>A367</f>
        <v>Cypress_height_conversion_equation</v>
      </c>
      <c r="B368" s="3" t="s">
        <v>429</v>
      </c>
      <c r="C368" s="3" t="s">
        <v>426</v>
      </c>
      <c r="D368" s="3">
        <v>-1.14E-3</v>
      </c>
      <c r="E368" s="3"/>
    </row>
    <row r="369" spans="1:5" x14ac:dyDescent="0.25">
      <c r="A369" s="1" t="s">
        <v>535</v>
      </c>
      <c r="B369" s="3"/>
      <c r="C369" s="3" t="s">
        <v>536</v>
      </c>
      <c r="D369" s="3">
        <v>-39.1</v>
      </c>
      <c r="E369" s="3"/>
    </row>
    <row r="370" spans="1:5" x14ac:dyDescent="0.25">
      <c r="A370" t="str">
        <f>A369</f>
        <v>Crown_height_model</v>
      </c>
      <c r="B370" s="3"/>
      <c r="C370" s="3" t="s">
        <v>427</v>
      </c>
      <c r="D370" s="3">
        <v>0.78</v>
      </c>
      <c r="E370" s="3"/>
    </row>
    <row r="371" spans="1:5" x14ac:dyDescent="0.25">
      <c r="A371" t="str">
        <f>A370</f>
        <v>Crown_height_model</v>
      </c>
      <c r="B371" s="3"/>
      <c r="C371" s="3" t="s">
        <v>428</v>
      </c>
      <c r="D371" s="3">
        <v>4.87</v>
      </c>
      <c r="E371" s="3"/>
    </row>
  </sheetData>
  <autoFilter ref="A1:E383" xr:uid="{4FDF91BC-D957-4FC0-A434-BF0E9EFF912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4D9E-26A0-4051-84E7-C626F189A764}">
  <sheetPr codeName="Sheet1"/>
  <dimension ref="A1:K9"/>
  <sheetViews>
    <sheetView workbookViewId="0">
      <selection activeCell="C12" sqref="C12"/>
    </sheetView>
  </sheetViews>
  <sheetFormatPr defaultColWidth="26.140625" defaultRowHeight="15" x14ac:dyDescent="0.25"/>
  <cols>
    <col min="1" max="1" width="26" bestFit="1" customWidth="1"/>
    <col min="2" max="2" width="17.42578125" bestFit="1" customWidth="1"/>
    <col min="3" max="8" width="12.7109375" bestFit="1" customWidth="1"/>
    <col min="9" max="9" width="13.5703125" bestFit="1" customWidth="1"/>
    <col min="10" max="11" width="8.7109375" bestFit="1" customWidth="1"/>
  </cols>
  <sheetData>
    <row r="1" spans="1:11" x14ac:dyDescent="0.25">
      <c r="A1" t="s">
        <v>515</v>
      </c>
      <c r="B1" t="s">
        <v>516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</row>
    <row r="2" spans="1:11" x14ac:dyDescent="0.25">
      <c r="A2">
        <v>0.94199999999999995</v>
      </c>
      <c r="B2">
        <v>0.98899999999999999</v>
      </c>
      <c r="C2">
        <v>1.4929129240000001</v>
      </c>
      <c r="D2">
        <v>1.6331059859999999</v>
      </c>
      <c r="E2">
        <v>0.73044871700000003</v>
      </c>
      <c r="F2">
        <v>1.09857999</v>
      </c>
      <c r="G2">
        <v>1.403009551</v>
      </c>
      <c r="H2">
        <v>2.834246614</v>
      </c>
      <c r="I2">
        <v>2.7023000000000001</v>
      </c>
      <c r="J2">
        <v>6.2732999999999999</v>
      </c>
      <c r="K2">
        <v>2.1819000000000002</v>
      </c>
    </row>
    <row r="3" spans="1:11" x14ac:dyDescent="0.25">
      <c r="A3">
        <v>-1.161</v>
      </c>
      <c r="B3">
        <v>-1.2751999999999999</v>
      </c>
      <c r="C3">
        <v>-0.99911330899999995</v>
      </c>
      <c r="D3">
        <v>-1.0393272039999999</v>
      </c>
      <c r="E3">
        <v>-0.61744022600000004</v>
      </c>
      <c r="F3">
        <v>-0.88386225799999996</v>
      </c>
      <c r="G3">
        <v>-0.96392392000000005</v>
      </c>
      <c r="H3">
        <v>-1.856804825</v>
      </c>
      <c r="I3">
        <v>-2.1301000000000001</v>
      </c>
      <c r="J3">
        <v>0.12839999999999999</v>
      </c>
      <c r="K3">
        <v>0.25040000000000001</v>
      </c>
    </row>
    <row r="4" spans="1:11" x14ac:dyDescent="0.25">
      <c r="A4">
        <v>0.317</v>
      </c>
      <c r="B4">
        <v>0.31909999999999999</v>
      </c>
      <c r="C4">
        <v>1.2507539409999999</v>
      </c>
      <c r="D4">
        <v>1.212696953</v>
      </c>
      <c r="E4">
        <v>1.0956160370000001</v>
      </c>
      <c r="F4">
        <v>1.165375013</v>
      </c>
      <c r="G4">
        <v>1.2210465939999999</v>
      </c>
      <c r="H4">
        <v>1.1520977859999999</v>
      </c>
      <c r="I4">
        <v>1.3900999999999999</v>
      </c>
      <c r="J4">
        <v>-9.7000000000000005E-4</v>
      </c>
      <c r="K4">
        <v>-8.0999999999999996E-4</v>
      </c>
    </row>
    <row r="5" spans="1:11" x14ac:dyDescent="0.25">
      <c r="C5">
        <v>-0.39703715899999997</v>
      </c>
      <c r="D5">
        <v>-0.359131176</v>
      </c>
      <c r="E5">
        <v>-0.22222022299999999</v>
      </c>
      <c r="F5">
        <v>-0.28047221</v>
      </c>
      <c r="G5">
        <v>-0.35833700899999998</v>
      </c>
      <c r="H5">
        <v>-0.201346156</v>
      </c>
      <c r="I5">
        <v>-0.50560000000000005</v>
      </c>
    </row>
    <row r="6" spans="1:11" x14ac:dyDescent="0.25">
      <c r="C6">
        <v>2.7218164E-2</v>
      </c>
      <c r="D6">
        <v>2.6454943000000002E-2</v>
      </c>
      <c r="E6">
        <v>1.3858949000000001E-2</v>
      </c>
      <c r="F6">
        <v>2.2081234000000002E-2</v>
      </c>
      <c r="G6">
        <v>2.4975712000000001E-2</v>
      </c>
      <c r="H6">
        <v>-7.2111699999999996E-4</v>
      </c>
      <c r="I6">
        <v>5.4800000000000001E-2</v>
      </c>
    </row>
    <row r="7" spans="1:11" x14ac:dyDescent="0.25">
      <c r="C7">
        <v>-6.3166205000000003E-2</v>
      </c>
      <c r="D7">
        <v>-6.7457457999999998E-2</v>
      </c>
      <c r="E7">
        <v>-0.11022445</v>
      </c>
      <c r="F7">
        <v>-5.9261776000000002E-2</v>
      </c>
      <c r="G7">
        <v>-6.1374803999999998E-2</v>
      </c>
      <c r="H7">
        <v>8.1503043999999997E-2</v>
      </c>
      <c r="I7">
        <v>9.9099999999999994E-2</v>
      </c>
    </row>
    <row r="8" spans="1:11" x14ac:dyDescent="0.25">
      <c r="C8">
        <v>6.4609458999999994E-2</v>
      </c>
      <c r="D8">
        <v>6.6992488000000003E-2</v>
      </c>
      <c r="E8">
        <v>5.9157534999999997E-2</v>
      </c>
      <c r="F8">
        <v>5.3187392E-2</v>
      </c>
      <c r="G8">
        <v>6.1895757000000003E-2</v>
      </c>
      <c r="H8">
        <v>2.4428221999999999E-2</v>
      </c>
      <c r="I8">
        <v>0.14779999999999999</v>
      </c>
    </row>
    <row r="9" spans="1:11" x14ac:dyDescent="0.25">
      <c r="C9">
        <v>-3.0665365E-2</v>
      </c>
      <c r="D9">
        <v>-3.0528277999999999E-2</v>
      </c>
      <c r="E9">
        <v>-1.6942592999999999E-2</v>
      </c>
      <c r="F9">
        <v>-2.5226520999999998E-2</v>
      </c>
      <c r="G9">
        <v>-2.8672533E-2</v>
      </c>
      <c r="H9">
        <v>1.938887E-3</v>
      </c>
      <c r="I9">
        <v>-8.7999999999999995E-2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9A3D-1926-48E3-AF21-AC500708AB8C}">
  <dimension ref="A1:E36"/>
  <sheetViews>
    <sheetView zoomScaleNormal="100" workbookViewId="0">
      <selection activeCell="C13" sqref="C13"/>
    </sheetView>
  </sheetViews>
  <sheetFormatPr defaultRowHeight="15" x14ac:dyDescent="0.25"/>
  <cols>
    <col min="1" max="1" width="35.28515625" bestFit="1" customWidth="1"/>
    <col min="2" max="2" width="8.85546875" customWidth="1"/>
    <col min="3" max="3" width="5.7109375" bestFit="1" customWidth="1"/>
    <col min="4" max="4" width="24" bestFit="1" customWidth="1"/>
    <col min="5" max="5" width="35.28515625" bestFit="1" customWidth="1"/>
    <col min="7" max="7" width="19.7109375" bestFit="1" customWidth="1"/>
    <col min="8" max="8" width="12.7109375" bestFit="1" customWidth="1"/>
  </cols>
  <sheetData>
    <row r="1" spans="1:5" x14ac:dyDescent="0.25">
      <c r="A1" s="43" t="s">
        <v>558</v>
      </c>
      <c r="B1" s="43" t="s">
        <v>665</v>
      </c>
      <c r="C1" s="43" t="s">
        <v>559</v>
      </c>
      <c r="D1" s="43" t="s">
        <v>560</v>
      </c>
      <c r="E1" s="43" t="s">
        <v>2</v>
      </c>
    </row>
    <row r="2" spans="1:5" ht="15.75" thickBot="1" x14ac:dyDescent="0.3">
      <c r="A2" t="s">
        <v>688</v>
      </c>
      <c r="B2" s="45" t="s">
        <v>13</v>
      </c>
      <c r="D2" s="44" t="s">
        <v>0</v>
      </c>
    </row>
    <row r="3" spans="1:5" x14ac:dyDescent="0.25">
      <c r="A3" t="s">
        <v>689</v>
      </c>
      <c r="B3" s="25">
        <v>50</v>
      </c>
      <c r="C3" s="10" t="s">
        <v>589</v>
      </c>
      <c r="D3" s="9" t="s">
        <v>18</v>
      </c>
      <c r="E3" s="18" t="s">
        <v>590</v>
      </c>
    </row>
    <row r="4" spans="1:5" ht="15.75" thickBot="1" x14ac:dyDescent="0.3">
      <c r="A4" t="s">
        <v>690</v>
      </c>
      <c r="B4" s="25">
        <v>1</v>
      </c>
      <c r="C4" s="14" t="s">
        <v>591</v>
      </c>
      <c r="D4" s="16" t="s">
        <v>19</v>
      </c>
      <c r="E4" s="13" t="s">
        <v>592</v>
      </c>
    </row>
    <row r="5" spans="1:5" x14ac:dyDescent="0.25">
      <c r="A5" t="s">
        <v>691</v>
      </c>
      <c r="B5" s="22" t="s">
        <v>21</v>
      </c>
      <c r="C5" s="32" t="s">
        <v>593</v>
      </c>
      <c r="D5" s="36" t="s">
        <v>20</v>
      </c>
      <c r="E5" s="28" t="s">
        <v>594</v>
      </c>
    </row>
    <row r="6" spans="1:5" x14ac:dyDescent="0.25">
      <c r="A6" t="s">
        <v>666</v>
      </c>
      <c r="B6" s="22"/>
      <c r="C6" s="42" t="s">
        <v>595</v>
      </c>
      <c r="D6" s="21" t="s">
        <v>23</v>
      </c>
      <c r="E6" s="39" t="s">
        <v>596</v>
      </c>
    </row>
    <row r="7" spans="1:5" x14ac:dyDescent="0.25">
      <c r="A7" t="s">
        <v>667</v>
      </c>
      <c r="B7" s="22"/>
      <c r="C7" s="42" t="s">
        <v>597</v>
      </c>
      <c r="D7" s="21" t="s">
        <v>25</v>
      </c>
      <c r="E7" s="39" t="s">
        <v>598</v>
      </c>
    </row>
    <row r="8" spans="1:5" x14ac:dyDescent="0.25">
      <c r="A8" t="s">
        <v>668</v>
      </c>
      <c r="B8" s="22"/>
      <c r="C8" s="42" t="s">
        <v>599</v>
      </c>
      <c r="D8" s="21" t="s">
        <v>26</v>
      </c>
      <c r="E8" s="39" t="s">
        <v>600</v>
      </c>
    </row>
    <row r="9" spans="1:5" x14ac:dyDescent="0.25">
      <c r="A9" t="s">
        <v>669</v>
      </c>
      <c r="B9" s="22"/>
      <c r="C9" s="42" t="s">
        <v>601</v>
      </c>
      <c r="D9" s="21" t="s">
        <v>27</v>
      </c>
      <c r="E9" s="39" t="s">
        <v>602</v>
      </c>
    </row>
    <row r="10" spans="1:5" x14ac:dyDescent="0.25">
      <c r="A10" t="s">
        <v>670</v>
      </c>
      <c r="B10" s="22"/>
      <c r="C10" s="42" t="s">
        <v>603</v>
      </c>
      <c r="D10" s="21" t="s">
        <v>28</v>
      </c>
      <c r="E10" s="39" t="s">
        <v>604</v>
      </c>
    </row>
    <row r="11" spans="1:5" x14ac:dyDescent="0.25">
      <c r="A11" t="s">
        <v>671</v>
      </c>
      <c r="B11" s="22"/>
      <c r="C11" s="42" t="s">
        <v>605</v>
      </c>
      <c r="D11" s="21" t="s">
        <v>29</v>
      </c>
      <c r="E11" s="39" t="s">
        <v>606</v>
      </c>
    </row>
    <row r="12" spans="1:5" x14ac:dyDescent="0.25">
      <c r="A12" t="s">
        <v>672</v>
      </c>
      <c r="B12" s="22"/>
      <c r="C12" s="42" t="s">
        <v>607</v>
      </c>
      <c r="D12" s="21" t="s">
        <v>30</v>
      </c>
      <c r="E12" s="39" t="s">
        <v>608</v>
      </c>
    </row>
    <row r="13" spans="1:5" x14ac:dyDescent="0.25">
      <c r="A13" t="s">
        <v>673</v>
      </c>
      <c r="B13" s="22"/>
      <c r="C13" s="42" t="s">
        <v>609</v>
      </c>
      <c r="D13" s="21" t="s">
        <v>31</v>
      </c>
      <c r="E13" s="39" t="s">
        <v>610</v>
      </c>
    </row>
    <row r="14" spans="1:5" x14ac:dyDescent="0.25">
      <c r="A14" t="s">
        <v>674</v>
      </c>
      <c r="B14" s="22"/>
      <c r="C14" s="42" t="s">
        <v>611</v>
      </c>
      <c r="D14" s="21" t="s">
        <v>32</v>
      </c>
      <c r="E14" s="39" t="s">
        <v>612</v>
      </c>
    </row>
    <row r="15" spans="1:5" ht="15.75" thickBot="1" x14ac:dyDescent="0.3">
      <c r="A15" t="s">
        <v>675</v>
      </c>
      <c r="B15" s="22"/>
      <c r="C15" s="31" t="s">
        <v>613</v>
      </c>
      <c r="D15" s="35" t="s">
        <v>33</v>
      </c>
      <c r="E15" s="27" t="s">
        <v>614</v>
      </c>
    </row>
    <row r="16" spans="1:5" x14ac:dyDescent="0.25">
      <c r="A16" t="s">
        <v>676</v>
      </c>
      <c r="B16" s="22"/>
      <c r="C16" s="10" t="s">
        <v>615</v>
      </c>
      <c r="D16" s="9" t="s">
        <v>35</v>
      </c>
      <c r="E16" s="18" t="s">
        <v>616</v>
      </c>
    </row>
    <row r="17" spans="1:5" ht="15.75" thickBot="1" x14ac:dyDescent="0.3">
      <c r="A17" t="s">
        <v>692</v>
      </c>
      <c r="B17" s="22" t="s">
        <v>21</v>
      </c>
      <c r="C17" s="14" t="s">
        <v>617</v>
      </c>
      <c r="D17" s="16" t="s">
        <v>36</v>
      </c>
      <c r="E17" s="13" t="s">
        <v>618</v>
      </c>
    </row>
    <row r="18" spans="1:5" x14ac:dyDescent="0.25">
      <c r="A18" t="s">
        <v>677</v>
      </c>
      <c r="B18" s="22"/>
      <c r="C18" s="32" t="s">
        <v>619</v>
      </c>
      <c r="D18" s="36" t="s">
        <v>35</v>
      </c>
      <c r="E18" s="28" t="s">
        <v>616</v>
      </c>
    </row>
    <row r="19" spans="1:5" x14ac:dyDescent="0.25">
      <c r="A19" t="s">
        <v>678</v>
      </c>
      <c r="B19" s="22"/>
      <c r="C19" s="42" t="s">
        <v>620</v>
      </c>
      <c r="D19" s="21" t="s">
        <v>38</v>
      </c>
      <c r="E19" s="39" t="s">
        <v>618</v>
      </c>
    </row>
    <row r="20" spans="1:5" x14ac:dyDescent="0.25">
      <c r="A20" t="s">
        <v>679</v>
      </c>
      <c r="B20" s="22"/>
      <c r="C20" s="42" t="s">
        <v>621</v>
      </c>
      <c r="D20" s="21" t="s">
        <v>40</v>
      </c>
      <c r="E20" s="39" t="s">
        <v>622</v>
      </c>
    </row>
    <row r="21" spans="1:5" x14ac:dyDescent="0.25">
      <c r="A21" t="s">
        <v>680</v>
      </c>
      <c r="B21" s="22"/>
      <c r="C21" s="42" t="s">
        <v>623</v>
      </c>
      <c r="D21" s="21" t="s">
        <v>41</v>
      </c>
      <c r="E21" s="39" t="s">
        <v>624</v>
      </c>
    </row>
    <row r="22" spans="1:5" ht="15.75" thickBot="1" x14ac:dyDescent="0.3">
      <c r="A22" t="s">
        <v>693</v>
      </c>
      <c r="B22" s="22" t="s">
        <v>21</v>
      </c>
      <c r="C22" s="41" t="s">
        <v>625</v>
      </c>
      <c r="D22" s="24" t="s">
        <v>42</v>
      </c>
      <c r="E22" s="38" t="s">
        <v>626</v>
      </c>
    </row>
    <row r="23" spans="1:5" x14ac:dyDescent="0.25">
      <c r="A23" t="s">
        <v>681</v>
      </c>
      <c r="B23" s="25"/>
      <c r="C23" s="11" t="s">
        <v>633</v>
      </c>
      <c r="D23" s="12" t="s">
        <v>46</v>
      </c>
      <c r="E23" s="15" t="s">
        <v>628</v>
      </c>
    </row>
    <row r="24" spans="1:5" x14ac:dyDescent="0.25">
      <c r="A24" t="s">
        <v>682</v>
      </c>
      <c r="B24" s="25"/>
      <c r="C24" s="11" t="s">
        <v>634</v>
      </c>
      <c r="D24" s="12" t="s">
        <v>47</v>
      </c>
      <c r="E24" s="15" t="s">
        <v>628</v>
      </c>
    </row>
    <row r="25" spans="1:5" x14ac:dyDescent="0.25">
      <c r="A25" t="s">
        <v>683</v>
      </c>
      <c r="B25" s="25"/>
      <c r="C25" s="11" t="s">
        <v>635</v>
      </c>
      <c r="D25" s="12" t="s">
        <v>48</v>
      </c>
      <c r="E25" s="15" t="s">
        <v>628</v>
      </c>
    </row>
    <row r="26" spans="1:5" x14ac:dyDescent="0.25">
      <c r="A26" t="s">
        <v>684</v>
      </c>
      <c r="B26" s="25"/>
      <c r="C26" s="11" t="s">
        <v>636</v>
      </c>
      <c r="D26" s="12" t="s">
        <v>49</v>
      </c>
      <c r="E26" s="15" t="s">
        <v>628</v>
      </c>
    </row>
    <row r="27" spans="1:5" x14ac:dyDescent="0.25">
      <c r="A27" t="s">
        <v>685</v>
      </c>
      <c r="B27" s="25"/>
      <c r="C27" s="11" t="s">
        <v>637</v>
      </c>
      <c r="D27" s="12" t="s">
        <v>50</v>
      </c>
      <c r="E27" s="15" t="s">
        <v>638</v>
      </c>
    </row>
    <row r="28" spans="1:5" ht="15.75" thickBot="1" x14ac:dyDescent="0.3">
      <c r="A28" t="s">
        <v>694</v>
      </c>
      <c r="B28" s="25">
        <v>2</v>
      </c>
      <c r="C28" s="14" t="s">
        <v>639</v>
      </c>
      <c r="D28" s="16" t="s">
        <v>51</v>
      </c>
      <c r="E28" s="13" t="s">
        <v>640</v>
      </c>
    </row>
    <row r="29" spans="1:5" ht="39.75" thickBot="1" x14ac:dyDescent="0.3">
      <c r="A29" t="s">
        <v>648</v>
      </c>
      <c r="B29" s="25">
        <v>1</v>
      </c>
      <c r="C29" s="19" t="s">
        <v>647</v>
      </c>
      <c r="D29" s="20" t="s">
        <v>3</v>
      </c>
      <c r="E29" s="34" t="s">
        <v>649</v>
      </c>
    </row>
    <row r="30" spans="1:5" x14ac:dyDescent="0.25">
      <c r="A30" t="s">
        <v>651</v>
      </c>
      <c r="B30" s="25" t="s">
        <v>21</v>
      </c>
      <c r="C30" s="32" t="s">
        <v>650</v>
      </c>
      <c r="D30" s="36" t="s">
        <v>22</v>
      </c>
      <c r="E30" s="28" t="s">
        <v>652</v>
      </c>
    </row>
    <row r="31" spans="1:5" x14ac:dyDescent="0.25">
      <c r="A31" t="s">
        <v>654</v>
      </c>
      <c r="B31" s="22" t="s">
        <v>21</v>
      </c>
      <c r="C31" s="42" t="s">
        <v>653</v>
      </c>
      <c r="D31" s="21" t="s">
        <v>24</v>
      </c>
      <c r="E31" s="39" t="s">
        <v>652</v>
      </c>
    </row>
    <row r="32" spans="1:5" ht="15.75" thickBot="1" x14ac:dyDescent="0.3">
      <c r="A32" t="s">
        <v>656</v>
      </c>
      <c r="B32" s="22" t="s">
        <v>21</v>
      </c>
      <c r="C32" s="31" t="s">
        <v>655</v>
      </c>
      <c r="D32" s="35" t="s">
        <v>6</v>
      </c>
      <c r="E32" s="27" t="s">
        <v>652</v>
      </c>
    </row>
    <row r="33" spans="1:5" ht="15.75" thickBot="1" x14ac:dyDescent="0.3">
      <c r="A33" t="s">
        <v>658</v>
      </c>
      <c r="B33" s="25">
        <v>0</v>
      </c>
      <c r="C33" s="26" t="s">
        <v>657</v>
      </c>
      <c r="D33" s="30" t="s">
        <v>34</v>
      </c>
      <c r="E33" s="23" t="s">
        <v>638</v>
      </c>
    </row>
    <row r="34" spans="1:5" x14ac:dyDescent="0.25">
      <c r="A34" t="s">
        <v>686</v>
      </c>
      <c r="B34" s="22"/>
      <c r="C34" s="10" t="s">
        <v>659</v>
      </c>
      <c r="D34" s="9" t="s">
        <v>37</v>
      </c>
      <c r="E34" s="18" t="s">
        <v>660</v>
      </c>
    </row>
    <row r="35" spans="1:5" x14ac:dyDescent="0.25">
      <c r="A35" t="s">
        <v>687</v>
      </c>
      <c r="B35" s="22"/>
      <c r="C35" s="11" t="s">
        <v>661</v>
      </c>
      <c r="D35" s="12" t="s">
        <v>39</v>
      </c>
      <c r="E35" s="15" t="s">
        <v>662</v>
      </c>
    </row>
    <row r="36" spans="1:5" ht="15.75" thickBot="1" x14ac:dyDescent="0.3">
      <c r="A36" t="s">
        <v>664</v>
      </c>
      <c r="B36" s="22" t="s">
        <v>21</v>
      </c>
      <c r="C36" s="37" t="s">
        <v>663</v>
      </c>
      <c r="D36" s="40" t="s">
        <v>9</v>
      </c>
      <c r="E36" s="33" t="s">
        <v>652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48C3-2CBA-4E50-8DB8-1EDC22D31510}">
  <sheetPr codeName="Sheet41">
    <tabColor rgb="FFFFFF00"/>
  </sheetPr>
  <dimension ref="A1:L35"/>
  <sheetViews>
    <sheetView workbookViewId="0">
      <selection activeCell="L16" sqref="L16"/>
    </sheetView>
  </sheetViews>
  <sheetFormatPr defaultRowHeight="15" x14ac:dyDescent="0.25"/>
  <cols>
    <col min="1" max="1" width="27" bestFit="1" customWidth="1"/>
    <col min="3" max="3" width="41.42578125" style="3" bestFit="1" customWidth="1"/>
    <col min="4" max="4" width="39.7109375" bestFit="1" customWidth="1"/>
    <col min="8" max="8" width="33.85546875" bestFit="1" customWidth="1"/>
    <col min="9" max="9" width="5.5703125" bestFit="1" customWidth="1"/>
    <col min="10" max="10" width="4.28515625" bestFit="1" customWidth="1"/>
    <col min="11" max="11" width="18.28515625" bestFit="1" customWidth="1"/>
    <col min="12" max="12" width="35.28515625" bestFit="1" customWidth="1"/>
  </cols>
  <sheetData>
    <row r="1" spans="1:12" x14ac:dyDescent="0.25">
      <c r="A1" t="s">
        <v>537</v>
      </c>
      <c r="C1" s="7"/>
      <c r="D1" s="7" t="s">
        <v>446</v>
      </c>
      <c r="E1" t="s">
        <v>446</v>
      </c>
      <c r="H1" s="46" t="s">
        <v>7</v>
      </c>
      <c r="I1" s="29">
        <v>25</v>
      </c>
      <c r="J1" s="10" t="s">
        <v>561</v>
      </c>
      <c r="K1" s="10" t="s">
        <v>562</v>
      </c>
      <c r="L1" s="18" t="s">
        <v>563</v>
      </c>
    </row>
    <row r="2" spans="1:12" ht="15.75" thickBot="1" x14ac:dyDescent="0.3">
      <c r="A2" t="s">
        <v>12</v>
      </c>
      <c r="C2" s="7"/>
      <c r="D2" s="7" t="s">
        <v>0</v>
      </c>
      <c r="E2" t="s">
        <v>0</v>
      </c>
      <c r="H2" s="46" t="s">
        <v>8</v>
      </c>
      <c r="I2" s="29">
        <v>19.946746826171875</v>
      </c>
      <c r="J2" s="14" t="s">
        <v>564</v>
      </c>
      <c r="K2" s="14" t="s">
        <v>6</v>
      </c>
      <c r="L2" s="13" t="s">
        <v>565</v>
      </c>
    </row>
    <row r="3" spans="1:12" x14ac:dyDescent="0.25">
      <c r="A3" t="s">
        <v>538</v>
      </c>
      <c r="C3" s="7"/>
      <c r="D3" s="7" t="s">
        <v>482</v>
      </c>
      <c r="E3" t="s">
        <v>450</v>
      </c>
      <c r="H3" s="9" t="s">
        <v>1</v>
      </c>
      <c r="I3" s="29">
        <v>21.5833333333333</v>
      </c>
      <c r="J3" s="10" t="s">
        <v>566</v>
      </c>
      <c r="K3" s="10" t="s">
        <v>567</v>
      </c>
      <c r="L3" s="18" t="s">
        <v>568</v>
      </c>
    </row>
    <row r="4" spans="1:12" x14ac:dyDescent="0.25">
      <c r="A4" s="2" t="s">
        <v>539</v>
      </c>
      <c r="C4" s="7"/>
      <c r="D4" s="7" t="s">
        <v>483</v>
      </c>
      <c r="E4" t="s">
        <v>451</v>
      </c>
      <c r="H4" s="12" t="s">
        <v>1</v>
      </c>
      <c r="I4" s="29">
        <v>21.5833333333333</v>
      </c>
      <c r="J4" s="11" t="s">
        <v>566</v>
      </c>
      <c r="K4" s="11" t="s">
        <v>569</v>
      </c>
      <c r="L4" s="15" t="s">
        <v>568</v>
      </c>
    </row>
    <row r="5" spans="1:12" x14ac:dyDescent="0.25">
      <c r="A5" s="2" t="s">
        <v>540</v>
      </c>
      <c r="C5" s="7"/>
      <c r="D5" s="7" t="s">
        <v>484</v>
      </c>
      <c r="E5" t="s">
        <v>452</v>
      </c>
      <c r="H5" s="12" t="s">
        <v>17</v>
      </c>
      <c r="I5" s="29">
        <v>300</v>
      </c>
      <c r="J5" s="11" t="s">
        <v>570</v>
      </c>
      <c r="K5" s="11" t="s">
        <v>571</v>
      </c>
      <c r="L5" s="15" t="s">
        <v>572</v>
      </c>
    </row>
    <row r="6" spans="1:12" x14ac:dyDescent="0.25">
      <c r="A6" s="2" t="s">
        <v>541</v>
      </c>
      <c r="C6" s="7"/>
      <c r="D6" s="7" t="s">
        <v>485</v>
      </c>
      <c r="E6" t="s">
        <v>453</v>
      </c>
      <c r="H6" s="12" t="s">
        <v>5</v>
      </c>
      <c r="I6" s="29"/>
      <c r="J6" s="11" t="s">
        <v>573</v>
      </c>
      <c r="K6" s="11" t="s">
        <v>574</v>
      </c>
      <c r="L6" s="15" t="s">
        <v>575</v>
      </c>
    </row>
    <row r="7" spans="1:12" x14ac:dyDescent="0.25">
      <c r="A7" s="2" t="s">
        <v>542</v>
      </c>
      <c r="C7" s="7"/>
      <c r="D7" s="7" t="s">
        <v>486</v>
      </c>
      <c r="E7" t="s">
        <v>454</v>
      </c>
      <c r="H7" s="12" t="s">
        <v>4</v>
      </c>
      <c r="I7" s="29">
        <v>52.118917403447817</v>
      </c>
      <c r="J7" s="11" t="s">
        <v>576</v>
      </c>
      <c r="K7" s="11" t="s">
        <v>577</v>
      </c>
      <c r="L7" s="15" t="s">
        <v>575</v>
      </c>
    </row>
    <row r="8" spans="1:12" ht="15.75" thickBot="1" x14ac:dyDescent="0.3">
      <c r="A8" t="s">
        <v>52</v>
      </c>
      <c r="C8" s="7"/>
      <c r="D8" s="7" t="s">
        <v>487</v>
      </c>
      <c r="E8" t="s">
        <v>455</v>
      </c>
      <c r="H8" s="16" t="s">
        <v>10</v>
      </c>
      <c r="I8" s="29"/>
      <c r="J8" s="14" t="s">
        <v>578</v>
      </c>
      <c r="K8" s="14" t="s">
        <v>579</v>
      </c>
      <c r="L8" s="13" t="s">
        <v>575</v>
      </c>
    </row>
    <row r="9" spans="1:12" x14ac:dyDescent="0.25">
      <c r="A9" s="2" t="s">
        <v>543</v>
      </c>
      <c r="C9" s="7"/>
      <c r="D9" s="7" t="s">
        <v>488</v>
      </c>
      <c r="E9" t="s">
        <v>456</v>
      </c>
      <c r="H9" s="9" t="s">
        <v>1</v>
      </c>
      <c r="I9" s="29">
        <v>21.5833333333333</v>
      </c>
      <c r="J9" s="10" t="s">
        <v>580</v>
      </c>
      <c r="K9" s="10" t="s">
        <v>581</v>
      </c>
      <c r="L9" s="18" t="s">
        <v>568</v>
      </c>
    </row>
    <row r="10" spans="1:12" x14ac:dyDescent="0.25">
      <c r="A10" s="2" t="s">
        <v>544</v>
      </c>
      <c r="C10" s="7"/>
      <c r="D10" s="7" t="s">
        <v>489</v>
      </c>
      <c r="E10" t="s">
        <v>457</v>
      </c>
      <c r="H10" s="12" t="s">
        <v>1</v>
      </c>
      <c r="I10" s="29">
        <v>21.5833333333333</v>
      </c>
      <c r="J10" s="11" t="s">
        <v>580</v>
      </c>
      <c r="K10" s="11" t="s">
        <v>582</v>
      </c>
      <c r="L10" s="15" t="s">
        <v>568</v>
      </c>
    </row>
    <row r="11" spans="1:12" x14ac:dyDescent="0.25">
      <c r="A11" s="2" t="s">
        <v>545</v>
      </c>
      <c r="C11" s="7"/>
      <c r="D11" s="7" t="s">
        <v>490</v>
      </c>
      <c r="E11" t="s">
        <v>458</v>
      </c>
      <c r="H11" s="12" t="s">
        <v>14</v>
      </c>
      <c r="I11" s="29">
        <v>21.324117539741405</v>
      </c>
      <c r="J11" s="11" t="s">
        <v>583</v>
      </c>
      <c r="K11" s="11" t="s">
        <v>584</v>
      </c>
      <c r="L11" s="15" t="s">
        <v>568</v>
      </c>
    </row>
    <row r="12" spans="1:12" ht="15.75" thickBot="1" x14ac:dyDescent="0.3">
      <c r="A12" s="2" t="s">
        <v>546</v>
      </c>
      <c r="C12" s="7"/>
      <c r="D12" s="7" t="s">
        <v>491</v>
      </c>
      <c r="E12" t="s">
        <v>459</v>
      </c>
      <c r="H12" s="16" t="s">
        <v>14</v>
      </c>
      <c r="I12" s="29">
        <v>21.324117539741405</v>
      </c>
      <c r="J12" s="14" t="s">
        <v>583</v>
      </c>
      <c r="K12" s="14" t="s">
        <v>585</v>
      </c>
      <c r="L12" s="13" t="s">
        <v>568</v>
      </c>
    </row>
    <row r="13" spans="1:12" ht="15.75" thickBot="1" x14ac:dyDescent="0.3">
      <c r="A13" s="2" t="s">
        <v>547</v>
      </c>
      <c r="C13" s="7"/>
      <c r="D13" s="7" t="s">
        <v>492</v>
      </c>
      <c r="E13" t="s">
        <v>460</v>
      </c>
      <c r="H13" s="46" t="s">
        <v>11</v>
      </c>
      <c r="I13" s="25">
        <v>1200</v>
      </c>
      <c r="J13" s="19" t="s">
        <v>586</v>
      </c>
      <c r="K13" s="19" t="s">
        <v>587</v>
      </c>
      <c r="L13" s="17" t="s">
        <v>588</v>
      </c>
    </row>
    <row r="14" spans="1:12" x14ac:dyDescent="0.25">
      <c r="A14" s="2" t="s">
        <v>548</v>
      </c>
      <c r="C14" s="7"/>
      <c r="D14" s="7" t="s">
        <v>493</v>
      </c>
      <c r="E14" t="s">
        <v>461</v>
      </c>
      <c r="H14" s="9" t="s">
        <v>43</v>
      </c>
      <c r="I14" s="47">
        <v>7.8669812257952865</v>
      </c>
      <c r="J14" s="10" t="s">
        <v>627</v>
      </c>
      <c r="K14" s="10" t="s">
        <v>454</v>
      </c>
      <c r="L14" s="18" t="s">
        <v>628</v>
      </c>
    </row>
    <row r="15" spans="1:12" x14ac:dyDescent="0.25">
      <c r="A15" t="s">
        <v>549</v>
      </c>
      <c r="C15" s="7"/>
      <c r="D15" s="7" t="s">
        <v>494</v>
      </c>
      <c r="E15" t="s">
        <v>462</v>
      </c>
      <c r="H15" s="12" t="s">
        <v>44</v>
      </c>
      <c r="I15" s="47">
        <v>0.67173956123907264</v>
      </c>
      <c r="J15" s="11" t="s">
        <v>629</v>
      </c>
      <c r="K15" s="11" t="s">
        <v>455</v>
      </c>
      <c r="L15" s="15" t="s">
        <v>628</v>
      </c>
    </row>
    <row r="16" spans="1:12" ht="15.75" thickBot="1" x14ac:dyDescent="0.3">
      <c r="C16" s="8"/>
      <c r="D16" s="8" t="s">
        <v>495</v>
      </c>
      <c r="E16" t="s">
        <v>447</v>
      </c>
      <c r="H16" s="12" t="s">
        <v>45</v>
      </c>
      <c r="I16" s="47">
        <v>12.406562990499999</v>
      </c>
      <c r="J16" s="11" t="s">
        <v>630</v>
      </c>
      <c r="K16" s="11" t="s">
        <v>631</v>
      </c>
      <c r="L16" s="15" t="s">
        <v>632</v>
      </c>
    </row>
    <row r="17" spans="3:12" x14ac:dyDescent="0.25">
      <c r="C17" s="8"/>
      <c r="D17" s="8" t="s">
        <v>496</v>
      </c>
      <c r="E17" t="s">
        <v>6</v>
      </c>
      <c r="H17" s="9" t="s">
        <v>15</v>
      </c>
      <c r="I17" s="47">
        <v>38.458443634157099</v>
      </c>
      <c r="J17" s="10" t="s">
        <v>641</v>
      </c>
      <c r="K17" s="10" t="s">
        <v>642</v>
      </c>
      <c r="L17" s="18" t="s">
        <v>643</v>
      </c>
    </row>
    <row r="18" spans="3:12" x14ac:dyDescent="0.25">
      <c r="C18" s="7"/>
      <c r="D18" s="7" t="s">
        <v>497</v>
      </c>
      <c r="E18" t="s">
        <v>463</v>
      </c>
      <c r="H18" s="12" t="s">
        <v>16</v>
      </c>
      <c r="I18" s="47">
        <v>287.968332326</v>
      </c>
      <c r="J18" s="11" t="s">
        <v>644</v>
      </c>
      <c r="K18" s="11" t="s">
        <v>645</v>
      </c>
      <c r="L18" s="15" t="s">
        <v>646</v>
      </c>
    </row>
    <row r="19" spans="3:12" x14ac:dyDescent="0.25">
      <c r="C19" s="7"/>
      <c r="D19" s="7" t="s">
        <v>498</v>
      </c>
      <c r="E19" t="s">
        <v>464</v>
      </c>
    </row>
    <row r="20" spans="3:12" x14ac:dyDescent="0.25">
      <c r="C20" s="7"/>
      <c r="D20" s="7" t="s">
        <v>499</v>
      </c>
      <c r="E20" t="s">
        <v>465</v>
      </c>
    </row>
    <row r="21" spans="3:12" x14ac:dyDescent="0.25">
      <c r="C21" s="7"/>
      <c r="D21" s="7" t="s">
        <v>500</v>
      </c>
      <c r="E21" t="s">
        <v>466</v>
      </c>
    </row>
    <row r="22" spans="3:12" x14ac:dyDescent="0.25">
      <c r="C22" s="7"/>
      <c r="D22" s="7" t="s">
        <v>501</v>
      </c>
      <c r="E22" t="s">
        <v>467</v>
      </c>
    </row>
    <row r="23" spans="3:12" x14ac:dyDescent="0.25">
      <c r="C23" s="7"/>
      <c r="D23" s="7" t="s">
        <v>502</v>
      </c>
      <c r="E23" t="s">
        <v>468</v>
      </c>
    </row>
    <row r="24" spans="3:12" x14ac:dyDescent="0.25">
      <c r="C24" s="7"/>
      <c r="D24" s="7" t="s">
        <v>503</v>
      </c>
      <c r="E24" t="s">
        <v>469</v>
      </c>
    </row>
    <row r="25" spans="3:12" x14ac:dyDescent="0.25">
      <c r="C25" s="7"/>
      <c r="D25" s="7" t="s">
        <v>504</v>
      </c>
      <c r="E25" t="s">
        <v>470</v>
      </c>
    </row>
    <row r="26" spans="3:12" x14ac:dyDescent="0.25">
      <c r="C26" s="7"/>
      <c r="D26" s="7" t="s">
        <v>505</v>
      </c>
      <c r="E26" t="s">
        <v>471</v>
      </c>
    </row>
    <row r="27" spans="3:12" x14ac:dyDescent="0.25">
      <c r="C27" s="7"/>
      <c r="D27" s="7" t="s">
        <v>506</v>
      </c>
      <c r="E27" t="s">
        <v>472</v>
      </c>
    </row>
    <row r="28" spans="3:12" x14ac:dyDescent="0.25">
      <c r="C28" s="7"/>
      <c r="D28" s="7" t="s">
        <v>507</v>
      </c>
      <c r="E28" t="s">
        <v>473</v>
      </c>
    </row>
    <row r="29" spans="3:12" x14ac:dyDescent="0.25">
      <c r="C29" s="7"/>
      <c r="D29" s="7" t="s">
        <v>508</v>
      </c>
      <c r="E29" t="s">
        <v>474</v>
      </c>
    </row>
    <row r="30" spans="3:12" x14ac:dyDescent="0.25">
      <c r="C30" s="7"/>
      <c r="D30" s="7" t="s">
        <v>509</v>
      </c>
      <c r="E30" t="s">
        <v>475</v>
      </c>
    </row>
    <row r="31" spans="3:12" x14ac:dyDescent="0.25">
      <c r="C31" s="7"/>
      <c r="D31" s="7" t="s">
        <v>510</v>
      </c>
      <c r="E31" t="s">
        <v>476</v>
      </c>
    </row>
    <row r="32" spans="3:12" x14ac:dyDescent="0.25">
      <c r="C32" s="7"/>
      <c r="D32" s="7" t="s">
        <v>511</v>
      </c>
      <c r="E32" t="s">
        <v>477</v>
      </c>
    </row>
    <row r="33" spans="3:5" x14ac:dyDescent="0.25">
      <c r="C33" s="7"/>
      <c r="D33" s="7" t="s">
        <v>512</v>
      </c>
      <c r="E33" t="s">
        <v>478</v>
      </c>
    </row>
    <row r="34" spans="3:5" x14ac:dyDescent="0.25">
      <c r="C34" s="7"/>
      <c r="D34" s="7" t="s">
        <v>513</v>
      </c>
      <c r="E34" t="s">
        <v>479</v>
      </c>
    </row>
    <row r="35" spans="3:5" x14ac:dyDescent="0.25">
      <c r="C35" s="7"/>
      <c r="D35" s="7" t="s">
        <v>514</v>
      </c>
      <c r="E35" t="s">
        <v>480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12c7b2a-e338-4788-b809-a191b86cdea0}" enabled="0" method="" siteId="{912c7b2a-e338-4788-b809-a191b86cde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VolTab</vt:lpstr>
      <vt:lpstr>settings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Kimberley</dc:creator>
  <cp:lastModifiedBy>Steven Dovey</cp:lastModifiedBy>
  <dcterms:created xsi:type="dcterms:W3CDTF">2021-04-21T02:04:49Z</dcterms:created>
  <dcterms:modified xsi:type="dcterms:W3CDTF">2026-03-26T20:12:07Z</dcterms:modified>
</cp:coreProperties>
</file>